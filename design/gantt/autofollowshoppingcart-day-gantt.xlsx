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9aaf258f9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清单" sheetId="1" r:id="R313f3d2383114dea"/>
    <x:sheet xmlns:r="http://schemas.openxmlformats.org/officeDocument/2006/relationships" name="日甘特图" sheetId="2" r:id="R285b5a47dcef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;;;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312E81"/>
      <x:name val="Carlito"/>
    </x:font>
    <x:font>
      <x:b/>
      <x:sz val="11"/>
      <x:color rgb="FF1D4ED8"/>
      <x:name val="Carlito"/>
    </x:font>
    <x:font>
      <x:sz val="11"/>
      <x:color rgb="FF0F172A"/>
      <x:name val="Carlito"/>
    </x:font>
    <x:font>
      <x:sz val="11"/>
      <x:color rgb="FF334155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CE7F3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DCFCE7"/>
      </x:patternFill>
    </x:fill>
    <x:fill>
      <x:patternFill patternType="solid">
        <x:fgColor rgb="FF16A34A"/>
      </x:patternFill>
    </x:fill>
    <x:fill>
      <x:patternFill patternType="solid">
        <x:fgColor rgb="FFECFCCB"/>
      </x:patternFill>
    </x:fill>
    <x:fill>
      <x:patternFill patternType="solid">
        <x:fgColor rgb="FFB45309"/>
      </x:patternFill>
    </x:fill>
    <x:fill>
      <x:patternFill patternType="solid">
        <x:fgColor rgb="FFE0E7FF"/>
      </x:patternFill>
    </x:fill>
    <x:fill>
      <x:patternFill patternType="solid">
        <x:fgColor rgb="FFA21CAF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F3F4F6"/>
      </x:patternFill>
    </x:fill>
    <x:fill>
      <x:patternFill patternType="solid">
        <x:fgColor rgb="FF1D4ED8"/>
      </x:patternFill>
    </x:fill>
    <x:fill>
      <x:patternFill patternType="solid">
        <x:fgColor rgb="FFFAE8FF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C7D2FE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horizontal="center" vertical="center" wrapText="1"/>
    </x:xf>
    <x:xf numFmtId="0" fontId="0" fillId="15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horizontal="center" vertical="center" wrapText="1"/>
    </x:xf>
    <x:xf numFmtId="0" fontId="0" fillId="16" borderId="2" xfId="0" applyNumberFormat="1" applyFont="1" applyFill="1" applyBorder="1" applyAlignment="1">
      <x:alignment vertical="center" wrapText="1"/>
    </x:xf>
    <x:xf numFmtId="0" fontId="3" fillId="16" borderId="2" xfId="0" applyNumberFormat="1" applyFont="1" applyFill="1" applyBorder="1" applyAlignment="1">
      <x:alignment vertical="center" wrapText="1"/>
    </x:xf>
    <x:xf numFmtId="0" fontId="3" fillId="16" borderId="2" xfId="0" applyNumberFormat="1" applyFont="1" applyFill="1" applyBorder="1" applyAlignment="1">
      <x:alignment horizontal="center" vertical="center" wrapText="1"/>
    </x:xf>
    <x:xf numFmtId="0" fontId="0" fillId="17" borderId="2" xfId="0" applyNumberFormat="1" applyFont="1" applyFill="1" applyBorder="1" applyAlignment="1">
      <x:alignment vertical="center" wrapText="1"/>
    </x:xf>
    <x:xf numFmtId="0" fontId="0" fillId="18" borderId="2" xfId="0" applyNumberFormat="1" applyFont="1" applyFill="1" applyBorder="1" applyAlignment="1">
      <x:alignment vertical="center" wrapText="1"/>
    </x:xf>
    <x:xf numFmtId="0" fontId="3" fillId="18" borderId="2" xfId="0" applyNumberFormat="1" applyFont="1" applyFill="1" applyBorder="1" applyAlignment="1">
      <x:alignment vertical="center" wrapText="1"/>
    </x:xf>
    <x:xf numFmtId="0" fontId="3" fillId="18" borderId="2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 applyAlignment="1">
      <x:alignment vertical="center" wrapText="1"/>
    </x:xf>
    <x:xf numFmtId="0" fontId="0" fillId="20" borderId="2" xfId="0" applyNumberFormat="1" applyFont="1" applyFill="1" applyBorder="1" applyAlignment="1">
      <x:alignment vertical="center" wrapText="1"/>
    </x:xf>
    <x:xf numFmtId="0" fontId="3" fillId="20" borderId="2" xfId="0" applyNumberFormat="1" applyFont="1" applyFill="1" applyBorder="1" applyAlignment="1">
      <x:alignment vertical="center" wrapText="1"/>
    </x:xf>
    <x:xf numFmtId="0" fontId="3" fillId="20" borderId="2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21" borderId="1" xfId="0" applyNumberFormat="1" applyFont="1" applyFill="1" applyBorder="1" applyAlignment="1">
      <x:alignment vertical="center"/>
    </x:xf>
    <x:xf numFmtId="0" fontId="0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2" borderId="1" xfId="0" applyNumberFormat="1" applyFont="1" applyFill="1" applyBorder="1" applyAlignment="1">
      <x:alignment horizontal="center" vertical="center"/>
    </x:xf>
    <x:xf numFmtId="0" fontId="5" fillId="22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21" borderId="1" xfId="0" applyNumberFormat="1" applyFont="1" applyFill="1" applyBorder="1" applyAlignment="1">
      <x:alignment horizontal="center" vertical="center"/>
    </x:xf>
    <x:xf numFmtId="0" fontId="7" fillId="21" borderId="1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/>
    <x:xf numFmtId="201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6" fillId="21" borderId="1" xfId="0" applyNumberFormat="1" applyFont="1" applyFill="1" applyBorder="1" applyAlignment="1">
      <x:alignment horizontal="center" vertical="center"/>
    </x:xf>
    <x:xf numFmtId="201" fontId="0" fillId="21" borderId="2" xfId="0" applyNumberFormat="1" applyFont="1" applyFill="1" applyBorder="1" applyAlignment="1">
      <x:alignment horizontal="center" vertical="center"/>
    </x:xf>
    <x:xf numFmtId="0" fontId="8" fillId="21" borderId="0" xfId="0" applyNumberFormat="1" applyFont="1" applyFill="1" applyBorder="1"/>
    <x:xf numFmtId="0" fontId="8" fillId="21" borderId="1" xfId="0" applyNumberFormat="1" applyFont="1" applyFill="1" applyBorder="1"/>
    <x:xf numFmtId="0" fontId="8" fillId="21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60A5FA"/>
      </x:font>
      <x:fill>
        <x:patternFill patternType="solid">
          <x:bgColor rgb="FF60A5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15b9be4054c72" /><Relationship Type="http://schemas.openxmlformats.org/officeDocument/2006/relationships/theme" Target="/xl/theme/theme1.xml" Id="Rfa76ffd58c654369" /><Relationship Type="http://schemas.openxmlformats.org/officeDocument/2006/relationships/sharedStrings" Target="/xl/sharedStrings.xml" Id="Rbf8e92212b744928" /><Relationship Type="http://schemas.openxmlformats.org/officeDocument/2006/relationships/worksheet" Target="/xl/worksheets/sheet1.xml" Id="R313f3d2383114dea" /><Relationship Type="http://schemas.openxmlformats.org/officeDocument/2006/relationships/worksheet" Target="/xl/worksheets/sheet2.xml" Id="R285b5a47dcef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42" hidden="0" customWidth="1"/>
  </x:cols>
  <x:sheetData>
    <x:row r="1" ht="28" customHeight="1">
      <x:c r="A1" s="4" t="str">
        <x:v>自主跟随购物车项目 - 4 周日级任务清单</x:v>
      </x:c>
    </x:row>
    <x:row r="3">
      <x:c r="A3" s="9" t="str">
        <x:v>编号</x:v>
      </x:c>
      <x:c r="B3" s="9" t="str">
        <x:v>任务</x:v>
      </x:c>
      <x:c r="C3" s="9" t="str">
        <x:v>负责人</x:v>
      </x:c>
      <x:c r="D3" s="9" t="str">
        <x:v>开始天</x:v>
      </x:c>
      <x:c r="E3" s="9" t="str">
        <x:v>结束天</x:v>
      </x:c>
      <x:c r="F3" s="9" t="str">
        <x:v>工期(天)</x:v>
      </x:c>
      <x:c r="G3" s="9" t="str">
        <x:v>任务线</x:v>
      </x:c>
      <x:c r="H3" s="9" t="str">
        <x:v>交付物 / 备注</x:v>
      </x:c>
    </x:row>
    <x:row r="4" ht="26.399999618530273" hidden="0" customHeight="1">
      <x:c r="A4" s="12" t="str">
        <x:v>T01</x:v>
      </x:c>
      <x:c r="B4" s="12" t="str">
        <x:v>需求收口与关键指标确定</x:v>
      </x:c>
      <x:c r="C4" s="14" t="str">
        <x:v>成员 A / C</x:v>
      </x:c>
      <x:c r="D4" s="13" t="n">
        <x:v>1</x:v>
      </x:c>
      <x:c r="E4" s="13" t="n">
        <x:v>2</x:v>
      </x:c>
      <x:c r="F4" s="13" t="n">
        <x:v>2</x:v>
      </x:c>
      <x:c r="G4" s="17" t="str">
        <x:v>项目规划</x:v>
      </x:c>
      <x:c r="H4" s="12" t="str">
        <x:v>需求与指标口径定稿；对齐场景、功能边界和验收指标</x:v>
      </x:c>
    </x:row>
    <x:row r="5" ht="15" hidden="0" customHeight="1">
      <x:c r="A5" s="12" t="str">
        <x:v>T02</x:v>
      </x:c>
      <x:c r="B5" s="12" t="str">
        <x:v>WBS、分工与物料清单初版</x:v>
      </x:c>
      <x:c r="C5" s="18" t="str">
        <x:v>成员 C</x:v>
      </x:c>
      <x:c r="D5" s="13" t="n">
        <x:v>1</x:v>
      </x:c>
      <x:c r="E5" s="13" t="n">
        <x:v>3</x:v>
      </x:c>
      <x:c r="F5" s="13" t="n">
        <x:v>3</x:v>
      </x:c>
      <x:c r="G5" s="17" t="str">
        <x:v>项目规划</x:v>
      </x:c>
      <x:c r="H5" s="12" t="str">
        <x:v>WBS、分工、BOM 初稿；建立项目管理主文档</x:v>
      </x:c>
    </x:row>
    <x:row r="6" ht="15" hidden="0" customHeight="1">
      <x:c r="A6" s="12" t="str">
        <x:v>T03</x:v>
      </x:c>
      <x:c r="B6" s="12" t="str">
        <x:v>方案 PPT 与汇报材料准备</x:v>
      </x:c>
      <x:c r="C6" s="14" t="str">
        <x:v>成员 A / C</x:v>
      </x:c>
      <x:c r="D6" s="13" t="n">
        <x:v>1</x:v>
      </x:c>
      <x:c r="E6" s="13" t="n">
        <x:v>5</x:v>
      </x:c>
      <x:c r="F6" s="13" t="n">
        <x:v>5</x:v>
      </x:c>
      <x:c r="G6" s="17" t="str">
        <x:v>项目规划</x:v>
      </x:c>
      <x:c r="H6" s="12" t="str">
        <x:v>方案 PPT 初版；用于第 1 周阶段汇报</x:v>
      </x:c>
    </x:row>
    <x:row r="7" ht="15" hidden="0" customHeight="1">
      <x:c r="A7" s="12" t="str">
        <x:v>T04</x:v>
      </x:c>
      <x:c r="B7" s="12" t="str">
        <x:v>OpenBot App 环境搭建与编译</x:v>
      </x:c>
      <x:c r="C7" s="19" t="str">
        <x:v>成员 A</x:v>
      </x:c>
      <x:c r="D7" s="13" t="n">
        <x:v>1</x:v>
      </x:c>
      <x:c r="E7" s="13" t="n">
        <x:v>4</x:v>
      </x:c>
      <x:c r="F7" s="13" t="n">
        <x:v>4</x:v>
      </x:c>
      <x:c r="G7" s="22" t="str">
        <x:v>上位机</x:v>
      </x:c>
      <x:c r="H7" s="12" t="str">
        <x:v>可运行 OpenBot App；记录构建环境和依赖版本</x:v>
      </x:c>
    </x:row>
    <x:row r="8" ht="26.399999618530273" hidden="0" customHeight="1">
      <x:c r="A8" s="12" t="str">
        <x:v>T05</x:v>
      </x:c>
      <x:c r="B8" s="12" t="str">
        <x:v>MCU 环境搭建与固件烧录</x:v>
      </x:c>
      <x:c r="C8" s="23" t="str">
        <x:v>成员 B</x:v>
      </x:c>
      <x:c r="D8" s="13" t="n">
        <x:v>1</x:v>
      </x:c>
      <x:c r="E8" s="13" t="n">
        <x:v>3</x:v>
      </x:c>
      <x:c r="F8" s="13" t="n">
        <x:v>3</x:v>
      </x:c>
      <x:c r="G8" s="26" t="str">
        <x:v>下位机</x:v>
      </x:c>
      <x:c r="H8" s="12" t="str">
        <x:v>可运行基础固件；打通 Arduino Nano 或 ESP32 基础控制</x:v>
      </x:c>
    </x:row>
    <x:row r="9" ht="15" hidden="0" customHeight="1">
      <x:c r="A9" s="12" t="str">
        <x:v>T06</x:v>
      </x:c>
      <x:c r="B9" s="12" t="str">
        <x:v>底盘、电机、电源到货检查</x:v>
      </x:c>
      <x:c r="C9" s="27" t="str">
        <x:v>成员 B / C</x:v>
      </x:c>
      <x:c r="D9" s="13" t="n">
        <x:v>1</x:v>
      </x:c>
      <x:c r="E9" s="13" t="n">
        <x:v>4</x:v>
      </x:c>
      <x:c r="F9" s="13" t="n">
        <x:v>4</x:v>
      </x:c>
      <x:c r="G9" s="30" t="str">
        <x:v>硬件</x:v>
      </x:c>
      <x:c r="H9" s="12" t="str">
        <x:v>到货验收记录；核对型号、接口和供电需求</x:v>
      </x:c>
    </x:row>
    <x:row r="10" ht="15" hidden="0" customHeight="1">
      <x:c r="A10" s="12" t="str">
        <x:v>T07</x:v>
      </x:c>
      <x:c r="B10" s="12" t="str">
        <x:v>手机与下位机串口通信打通</x:v>
      </x:c>
      <x:c r="C10" s="31" t="str">
        <x:v>成员 B / A</x:v>
      </x:c>
      <x:c r="D10" s="13" t="n">
        <x:v>3</x:v>
      </x:c>
      <x:c r="E10" s="13" t="n">
        <x:v>6</x:v>
      </x:c>
      <x:c r="F10" s="13" t="n">
        <x:v>4</x:v>
      </x:c>
      <x:c r="G10" s="26" t="str">
        <x:v>下位机</x:v>
      </x:c>
      <x:c r="H10" s="12" t="str">
        <x:v>通信链路可用；保留串口日志和异常记录</x:v>
      </x:c>
    </x:row>
    <x:row r="11" ht="15" hidden="0" customHeight="1">
      <x:c r="A11" s="12" t="str">
        <x:v>T08</x:v>
      </x:c>
      <x:c r="B11" s="12" t="str">
        <x:v>底盘装配与基础运动联调</x:v>
      </x:c>
      <x:c r="C11" s="23" t="str">
        <x:v>成员 B</x:v>
      </x:c>
      <x:c r="D11" s="13" t="n">
        <x:v>3</x:v>
      </x:c>
      <x:c r="E11" s="13" t="n">
        <x:v>8</x:v>
      </x:c>
      <x:c r="F11" s="13" t="n">
        <x:v>6</x:v>
      </x:c>
      <x:c r="G11" s="30" t="str">
        <x:v>硬件</x:v>
      </x:c>
      <x:c r="H11" s="12" t="str">
        <x:v>底盘可稳定运动；完成前进、后退、转向、停车</x:v>
      </x:c>
    </x:row>
    <x:row r="12" ht="15" hidden="0" customHeight="1">
      <x:c r="A12" s="12" t="str">
        <x:v>T09</x:v>
      </x:c>
      <x:c r="B12" s="12" t="str">
        <x:v>手机支架与视角固定</x:v>
      </x:c>
      <x:c r="C12" s="18" t="str">
        <x:v>成员 C</x:v>
      </x:c>
      <x:c r="D12" s="13" t="n">
        <x:v>3</x:v>
      </x:c>
      <x:c r="E12" s="13" t="n">
        <x:v>6</x:v>
      </x:c>
      <x:c r="F12" s="13" t="n">
        <x:v>4</x:v>
      </x:c>
      <x:c r="G12" s="34" t="str">
        <x:v>结构</x:v>
      </x:c>
      <x:c r="H12" s="12" t="str">
        <x:v>支架固定完成；保证画面稳定、视角合理</x:v>
      </x:c>
    </x:row>
    <x:row r="13" ht="15" hidden="0" customHeight="1">
      <x:c r="A13" s="12" t="str">
        <x:v>T10</x:v>
      </x:c>
      <x:c r="B13" s="12" t="str">
        <x:v>手动遥控测试与记录</x:v>
      </x:c>
      <x:c r="C13" s="27" t="str">
        <x:v>成员 B / C</x:v>
      </x:c>
      <x:c r="D13" s="13" t="n">
        <x:v>5</x:v>
      </x:c>
      <x:c r="E13" s="13" t="n">
        <x:v>7</x:v>
      </x:c>
      <x:c r="F13" s="13" t="n">
        <x:v>3</x:v>
      </x:c>
      <x:c r="G13" s="37" t="str">
        <x:v>测试</x:v>
      </x:c>
      <x:c r="H13" s="12" t="str">
        <x:v>手动遥控测试记录；形成第 1 周基础链路验收证据</x:v>
      </x:c>
    </x:row>
    <x:row r="14" ht="15" hidden="0" customHeight="1">
      <x:c r="A14" s="12" t="str">
        <x:v>T11</x:v>
      </x:c>
      <x:c r="B14" s="12" t="str">
        <x:v>人物检测与目标初始化</x:v>
      </x:c>
      <x:c r="C14" s="19" t="str">
        <x:v>成员 A</x:v>
      </x:c>
      <x:c r="D14" s="13" t="n">
        <x:v>8</x:v>
      </x:c>
      <x:c r="E14" s="13" t="n">
        <x:v>11</x:v>
      </x:c>
      <x:c r="F14" s="13" t="n">
        <x:v>4</x:v>
      </x:c>
      <x:c r="G14" s="22" t="str">
        <x:v>上位机</x:v>
      </x:c>
      <x:c r="H14" s="12" t="str">
        <x:v>目标初始化可用；先在单人、受控场景下完成</x:v>
      </x:c>
    </x:row>
    <x:row r="15" ht="15" hidden="0" customHeight="1">
      <x:c r="A15" s="12" t="str">
        <x:v>T12</x:v>
      </x:c>
      <x:c r="B15" s="12" t="str">
        <x:v>单人直线跟随初版</x:v>
      </x:c>
      <x:c r="C15" s="19" t="str">
        <x:v>成员 A</x:v>
      </x:c>
      <x:c r="D15" s="13" t="n">
        <x:v>9</x:v>
      </x:c>
      <x:c r="E15" s="13" t="n">
        <x:v>13</x:v>
      </x:c>
      <x:c r="F15" s="13" t="n">
        <x:v>5</x:v>
      </x:c>
      <x:c r="G15" s="22" t="str">
        <x:v>上位机</x:v>
      </x:c>
      <x:c r="H15" s="12" t="str">
        <x:v>直线跟随初版；实现目标锁定与基础跟随控制</x:v>
      </x:c>
    </x:row>
    <x:row r="16" ht="15" hidden="0" customHeight="1">
      <x:c r="A16" s="12" t="str">
        <x:v>T13</x:v>
      </x:c>
      <x:c r="B16" s="12" t="str">
        <x:v>购物筐与载物平台结构改造</x:v>
      </x:c>
      <x:c r="C16" s="18" t="str">
        <x:v>成员 C</x:v>
      </x:c>
      <x:c r="D16" s="13" t="n">
        <x:v>8</x:v>
      </x:c>
      <x:c r="E16" s="13" t="n">
        <x:v>14</x:v>
      </x:c>
      <x:c r="F16" s="13" t="n">
        <x:v>7</x:v>
      </x:c>
      <x:c r="G16" s="34" t="str">
        <x:v>结构</x:v>
      </x:c>
      <x:c r="H16" s="12" t="str">
        <x:v>购物筐结构完成；重点处理重心和安装稳固性</x:v>
      </x:c>
    </x:row>
    <x:row r="17" ht="15" hidden="0" customHeight="1">
      <x:c r="A17" s="12" t="str">
        <x:v>T14</x:v>
      </x:c>
      <x:c r="B17" s="12" t="str">
        <x:v>供电、驱动与负载稳定性调试</x:v>
      </x:c>
      <x:c r="C17" s="23" t="str">
        <x:v>成员 B</x:v>
      </x:c>
      <x:c r="D17" s="13" t="n">
        <x:v>8</x:v>
      </x:c>
      <x:c r="E17" s="13" t="n">
        <x:v>12</x:v>
      </x:c>
      <x:c r="F17" s="13" t="n">
        <x:v>5</x:v>
      </x:c>
      <x:c r="G17" s="26" t="str">
        <x:v>下位机</x:v>
      </x:c>
      <x:c r="H17" s="12" t="str">
        <x:v>供电与驱动稳定；保证带载运行不掉压不过热</x:v>
      </x:c>
    </x:row>
    <x:row r="18" ht="15" hidden="0" customHeight="1">
      <x:c r="A18" s="12" t="str">
        <x:v>T15</x:v>
      </x:c>
      <x:c r="B18" s="12" t="str">
        <x:v>跟随参数调节一轮</x:v>
      </x:c>
      <x:c r="C18" s="14" t="str">
        <x:v>成员 A / C</x:v>
      </x:c>
      <x:c r="D18" s="13" t="n">
        <x:v>11</x:v>
      </x:c>
      <x:c r="E18" s="13" t="n">
        <x:v>16</x:v>
      </x:c>
      <x:c r="F18" s="13" t="n">
        <x:v>6</x:v>
      </x:c>
      <x:c r="G18" s="37" t="str">
        <x:v>测试</x:v>
      </x:c>
      <x:c r="H18" s="12" t="str">
        <x:v>第一版参数表；调速度、距离、转向灵敏度</x:v>
      </x:c>
    </x:row>
    <x:row r="19" ht="15" hidden="0" customHeight="1">
      <x:c r="A19" s="12" t="str">
        <x:v>T16</x:v>
      </x:c>
      <x:c r="B19" s="12" t="str">
        <x:v>急停按钮与停车执行链路</x:v>
      </x:c>
      <x:c r="C19" s="27" t="str">
        <x:v>成员 B / C</x:v>
      </x:c>
      <x:c r="D19" s="13" t="n">
        <x:v>10</x:v>
      </x:c>
      <x:c r="E19" s="13" t="n">
        <x:v>15</x:v>
      </x:c>
      <x:c r="F19" s="13" t="n">
        <x:v>6</x:v>
      </x:c>
      <x:c r="G19" s="40" t="str">
        <x:v>安全</x:v>
      </x:c>
      <x:c r="H19" s="12" t="str">
        <x:v>急停功能可用；未解除急停前不得再次启动</x:v>
      </x:c>
    </x:row>
    <x:row r="20" ht="15" hidden="0" customHeight="1">
      <x:c r="A20" s="12" t="str">
        <x:v>T17</x:v>
      </x:c>
      <x:c r="B20" s="12" t="str">
        <x:v>通信超时停车保护</x:v>
      </x:c>
      <x:c r="C20" s="23" t="str">
        <x:v>成员 B</x:v>
      </x:c>
      <x:c r="D20" s="13" t="n">
        <x:v>11</x:v>
      </x:c>
      <x:c r="E20" s="13" t="n">
        <x:v>15</x:v>
      </x:c>
      <x:c r="F20" s="13" t="n">
        <x:v>5</x:v>
      </x:c>
      <x:c r="G20" s="40" t="str">
        <x:v>安全</x:v>
      </x:c>
      <x:c r="H20" s="12" t="str">
        <x:v>断连保护可用；配合通信测试复验</x:v>
      </x:c>
    </x:row>
    <x:row r="21" ht="39.599998474121094" hidden="0" customHeight="1">
      <x:c r="A21" s="12" t="str">
        <x:v>T18</x:v>
      </x:c>
      <x:c r="B21" s="12" t="str">
        <x:v>目标丢失安全搜寻与停车</x:v>
      </x:c>
      <x:c r="C21" s="41" t="str">
        <x:v>成员 A / B / C</x:v>
      </x:c>
      <x:c r="D21" s="13" t="n">
        <x:v>14</x:v>
      </x:c>
      <x:c r="E21" s="13" t="n">
        <x:v>18</x:v>
      </x:c>
      <x:c r="F21" s="13" t="n">
        <x:v>5</x:v>
      </x:c>
      <x:c r="G21" s="40" t="str">
        <x:v>安全</x:v>
      </x:c>
      <x:c r="H21" s="12" t="str">
        <x:v>LOST / SEARCH / STOP 联调完成；先取消前进，再短时原地搜寻，超时停车</x:v>
      </x:c>
    </x:row>
    <x:row r="22" ht="15" hidden="0" customHeight="1">
      <x:c r="A22" s="12" t="str">
        <x:v>T19</x:v>
      </x:c>
      <x:c r="B22" s="12" t="str">
        <x:v>障碍停车集成</x:v>
      </x:c>
      <x:c r="C22" s="27" t="str">
        <x:v>成员 C / B</x:v>
      </x:c>
      <x:c r="D22" s="13" t="n">
        <x:v>15</x:v>
      </x:c>
      <x:c r="E22" s="13" t="n">
        <x:v>19</x:v>
      </x:c>
      <x:c r="F22" s="13" t="n">
        <x:v>5</x:v>
      </x:c>
      <x:c r="G22" s="40" t="str">
        <x:v>安全</x:v>
      </x:c>
      <x:c r="H22" s="12" t="str">
        <x:v>障碍停车可用；首版优先实现减速或停车</x:v>
      </x:c>
    </x:row>
    <x:row r="23" ht="15" hidden="0" customHeight="1">
      <x:c r="A23" s="12" t="str">
        <x:v>T20</x:v>
      </x:c>
      <x:c r="B23" s="12" t="str">
        <x:v>系统联调一轮</x:v>
      </x:c>
      <x:c r="C23" s="41" t="str">
        <x:v>成员 A / B / C</x:v>
      </x:c>
      <x:c r="D23" s="13" t="n">
        <x:v>16</x:v>
      </x:c>
      <x:c r="E23" s="13" t="n">
        <x:v>20</x:v>
      </x:c>
      <x:c r="F23" s="13" t="n">
        <x:v>5</x:v>
      </x:c>
      <x:c r="G23" s="44" t="str">
        <x:v>联调</x:v>
      </x:c>
      <x:c r="H23" s="12" t="str">
        <x:v>核心闭环初通；验证跟随与停车链路协同</x:v>
      </x:c>
    </x:row>
    <x:row r="24" ht="26.399999618530273" hidden="0" customHeight="1">
      <x:c r="A24" s="12" t="str">
        <x:v>T21</x:v>
      </x:c>
      <x:c r="B24" s="12" t="str">
        <x:v>中期材料与问题清单整理</x:v>
      </x:c>
      <x:c r="C24" s="45" t="str">
        <x:v>成员 C / A / B</x:v>
      </x:c>
      <x:c r="D24" s="13" t="n">
        <x:v>17</x:v>
      </x:c>
      <x:c r="E24" s="13" t="n">
        <x:v>18</x:v>
      </x:c>
      <x:c r="F24" s="13" t="n">
        <x:v>2</x:v>
      </x:c>
      <x:c r="G24" s="17" t="str">
        <x:v>项目规划</x:v>
      </x:c>
      <x:c r="H24" s="12" t="str">
        <x:v>中期汇报材料；整理已完成内容、问题和最后一周计划</x:v>
      </x:c>
    </x:row>
    <x:row r="25" ht="15" hidden="0" customHeight="1">
      <x:c r="A25" s="12" t="str">
        <x:v>T22</x:v>
      </x:c>
      <x:c r="B25" s="12" t="str">
        <x:v>转弯、停下与负载测试</x:v>
      </x:c>
      <x:c r="C25" s="45" t="str">
        <x:v>成员 C / A / B</x:v>
      </x:c>
      <x:c r="D25" s="13" t="n">
        <x:v>18</x:v>
      </x:c>
      <x:c r="E25" s="13" t="n">
        <x:v>22</x:v>
      </x:c>
      <x:c r="F25" s="13" t="n">
        <x:v>5</x:v>
      </x:c>
      <x:c r="G25" s="37" t="str">
        <x:v>测试</x:v>
      </x:c>
      <x:c r="H25" s="12" t="str">
        <x:v>测试记录补全；补足非直线路径和载物场景</x:v>
      </x:c>
    </x:row>
    <x:row r="26" ht="15" hidden="0" customHeight="1">
      <x:c r="A26" s="12" t="str">
        <x:v>T23</x:v>
      </x:c>
      <x:c r="B26" s="12" t="str">
        <x:v>系统联调二轮与问题收敛</x:v>
      </x:c>
      <x:c r="C26" s="41" t="str">
        <x:v>成员 A / B / C</x:v>
      </x:c>
      <x:c r="D26" s="13" t="n">
        <x:v>21</x:v>
      </x:c>
      <x:c r="E26" s="13" t="n">
        <x:v>24</x:v>
      </x:c>
      <x:c r="F26" s="13" t="n">
        <x:v>4</x:v>
      </x:c>
      <x:c r="G26" s="44" t="str">
        <x:v>联调</x:v>
      </x:c>
      <x:c r="H26" s="12" t="str">
        <x:v>稳定版参数与流程；围绕最终演示脚本收敛问题</x:v>
      </x:c>
    </x:row>
    <x:row r="27" ht="15" hidden="0" customHeight="1">
      <x:c r="A27" s="12" t="str">
        <x:v>T24</x:v>
      </x:c>
      <x:c r="B27" s="12" t="str">
        <x:v>演示视频录制与脚本固化</x:v>
      </x:c>
      <x:c r="C27" s="45" t="str">
        <x:v>成员 C / A / B</x:v>
      </x:c>
      <x:c r="D27" s="13" t="n">
        <x:v>22</x:v>
      </x:c>
      <x:c r="E27" s="13" t="n">
        <x:v>26</x:v>
      </x:c>
      <x:c r="F27" s="13" t="n">
        <x:v>5</x:v>
      </x:c>
      <x:c r="G27" s="48" t="str">
        <x:v>交付</x:v>
      </x:c>
      <x:c r="H27" s="12" t="str">
        <x:v>演示视频与脚本；保留分段演示与完整演示素材</x:v>
      </x:c>
    </x:row>
    <x:row r="28" ht="26.399999618530273" hidden="0" customHeight="1">
      <x:c r="A28" s="12" t="str">
        <x:v>T25</x:v>
      </x:c>
      <x:c r="B28" s="12" t="str">
        <x:v>海报、PPT、总结报告收口</x:v>
      </x:c>
      <x:c r="C28" s="45" t="str">
        <x:v>成员 C / A / B</x:v>
      </x:c>
      <x:c r="D28" s="13" t="n">
        <x:v>23</x:v>
      </x:c>
      <x:c r="E28" s="13" t="n">
        <x:v>27</x:v>
      </x:c>
      <x:c r="F28" s="13" t="n">
        <x:v>5</x:v>
      </x:c>
      <x:c r="G28" s="48" t="str">
        <x:v>交付</x:v>
      </x:c>
      <x:c r="H28" s="12" t="str">
        <x:v>海报、PPT、总结报告；成员 C 主收口，A/B 提供技术内容</x:v>
      </x:c>
    </x:row>
    <x:row r="29" ht="15" hidden="0" customHeight="1">
      <x:c r="A29" s="12" t="str">
        <x:v>T26</x:v>
      </x:c>
      <x:c r="B29" s="12" t="str">
        <x:v>最终彩排与现场预案确认</x:v>
      </x:c>
      <x:c r="C29" s="41" t="str">
        <x:v>成员 A / B / C</x:v>
      </x:c>
      <x:c r="D29" s="13" t="n">
        <x:v>27</x:v>
      </x:c>
      <x:c r="E29" s="13" t="n">
        <x:v>28</x:v>
      </x:c>
      <x:c r="F29" s="13" t="n">
        <x:v>2</x:v>
      </x:c>
      <x:c r="G29" s="48" t="str">
        <x:v>交付</x:v>
      </x:c>
      <x:c r="H29" s="12" t="str">
        <x:v>最终演示预案；保留保守参数、备件、电池和线材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9" hidden="0" customWidth="1"/>
    <x:col min="6" max="6" width="9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  <x:col min="17" max="17" width="6.5" hidden="0" customWidth="1"/>
    <x:col min="18" max="18" width="6.5" hidden="0" customWidth="1"/>
    <x:col min="19" max="19" width="6.5" hidden="0" customWidth="1"/>
    <x:col min="20" max="20" width="6.5" hidden="0" customWidth="1"/>
    <x:col min="21" max="21" width="6.5" hidden="0" customWidth="1"/>
    <x:col min="22" max="22" width="6.5" hidden="0" customWidth="1"/>
    <x:col min="23" max="23" width="6.5" hidden="0" customWidth="1"/>
    <x:col min="24" max="24" width="6.5" hidden="0" customWidth="1"/>
    <x:col min="25" max="25" width="6.5" hidden="0" customWidth="1"/>
    <x:col min="26" max="26" width="6.5" hidden="0" customWidth="1"/>
    <x:col min="27" max="27" width="6.5" hidden="0" customWidth="1"/>
    <x:col min="28" max="28" width="6.5" hidden="0" customWidth="1"/>
    <x:col min="29" max="29" width="6.5" hidden="0" customWidth="1"/>
    <x:col min="30" max="30" width="6.5" hidden="0" customWidth="1"/>
    <x:col min="31" max="31" width="6.5" hidden="0" customWidth="1"/>
    <x:col min="32" max="32" width="6.5" hidden="0" customWidth="1"/>
    <x:col min="33" max="33" width="6.5" hidden="0" customWidth="1"/>
    <x:col min="34" max="34" width="6.5" hidden="0" customWidth="1"/>
  </x:cols>
  <x:sheetData>
    <x:row r="1" ht="30" customHeight="1">
      <x:c r="A1" s="4" t="str">
        <x:v>自主跟随购物车项目 - 4 周日级甘特图</x:v>
      </x:c>
    </x:row>
    <x:row r="2">
      <x:c r="A2" s="53" t="str">
        <x:v>排期单位</x:v>
      </x:c>
      <x:c r="B2" s="52" t="str">
        <x:v>第 X 天</x:v>
      </x:c>
      <x:c r="C2" s="52" t="str">
        <x:v>总周期</x:v>
      </x:c>
      <x:c r="D2" s="52" t="str">
        <x:v>28 天</x:v>
      </x:c>
      <x:c r="E2" s="52" t="str">
        <x:v>总工期</x:v>
      </x:c>
      <x:c r="F2" s="52" t="str">
        <x:v>28 天</x:v>
      </x:c>
    </x:row>
    <x:row r="3">
      <x:c r="G3" s="58" t="str">
        <x:v>第1周</x:v>
      </x:c>
      <x:c r="H3" s="58" t="str">
        <x:v>第1周</x:v>
      </x:c>
      <x:c r="I3" s="58" t="str">
        <x:v>第1周</x:v>
      </x:c>
      <x:c r="J3" s="58" t="str">
        <x:v>第1周</x:v>
      </x:c>
      <x:c r="K3" s="58" t="str">
        <x:v>第1周</x:v>
      </x:c>
      <x:c r="L3" s="58" t="str">
        <x:v>第1周</x:v>
      </x:c>
      <x:c r="M3" s="58" t="str">
        <x:v>第1周</x:v>
      </x:c>
      <x:c r="N3" s="58" t="str">
        <x:v>第2周</x:v>
      </x:c>
      <x:c r="O3" s="58" t="str">
        <x:v>第2周</x:v>
      </x:c>
      <x:c r="P3" s="58" t="str">
        <x:v>第2周</x:v>
      </x:c>
      <x:c r="Q3" s="58" t="str">
        <x:v>第2周</x:v>
      </x:c>
      <x:c r="R3" s="58" t="str">
        <x:v>第2周</x:v>
      </x:c>
      <x:c r="S3" s="58" t="str">
        <x:v>第2周</x:v>
      </x:c>
      <x:c r="T3" s="58" t="str">
        <x:v>第2周</x:v>
      </x:c>
      <x:c r="U3" s="58" t="str">
        <x:v>第3周</x:v>
      </x:c>
      <x:c r="V3" s="58" t="str">
        <x:v>第3周</x:v>
      </x:c>
      <x:c r="W3" s="58" t="str">
        <x:v>第3周</x:v>
      </x:c>
      <x:c r="X3" s="58" t="str">
        <x:v>第3周</x:v>
      </x:c>
      <x:c r="Y3" s="58" t="str">
        <x:v>第3周</x:v>
      </x:c>
      <x:c r="Z3" s="58" t="str">
        <x:v>第3周</x:v>
      </x:c>
      <x:c r="AA3" s="58" t="str">
        <x:v>第3周</x:v>
      </x:c>
      <x:c r="AB3" s="58" t="str">
        <x:v>第4周</x:v>
      </x:c>
      <x:c r="AC3" s="58" t="str">
        <x:v>第4周</x:v>
      </x:c>
      <x:c r="AD3" s="58" t="str">
        <x:v>第4周</x:v>
      </x:c>
      <x:c r="AE3" s="58" t="str">
        <x:v>第4周</x:v>
      </x:c>
      <x:c r="AF3" s="58" t="str">
        <x:v>第4周</x:v>
      </x:c>
      <x:c r="AG3" s="58" t="str">
        <x:v>第4周</x:v>
      </x:c>
      <x:c r="AH3" s="58" t="str">
        <x:v>第4周</x:v>
      </x:c>
    </x:row>
    <x:row r="4" ht="15" hidden="0" customHeight="1">
      <x:c r="A4" s="9" t="str">
        <x:v>任务编号</x:v>
      </x:c>
      <x:c r="B4" s="9" t="str">
        <x:v>任务</x:v>
      </x:c>
      <x:c r="C4" s="9" t="str">
        <x:v>负责人</x:v>
      </x:c>
      <x:c r="D4" s="9" t="str">
        <x:v>任务线</x:v>
      </x:c>
      <x:c r="E4" s="9" t="str">
        <x:v>开始天</x:v>
      </x:c>
      <x:c r="F4" s="9" t="str">
        <x:v>结束天</x:v>
      </x:c>
      <x:c r="G4" s="60" t="n">
        <x:v>1</x:v>
      </x:c>
      <x:c r="H4" s="60" t="n">
        <x:v>2</x:v>
      </x:c>
      <x:c r="I4" s="60" t="n">
        <x:v>3</x:v>
      </x:c>
      <x:c r="J4" s="60" t="n">
        <x:v>4</x:v>
      </x:c>
      <x:c r="K4" s="60" t="n">
        <x:v>5</x:v>
      </x:c>
      <x:c r="L4" s="60" t="n">
        <x:v>6</x:v>
      </x:c>
      <x:c r="M4" s="60" t="n">
        <x:v>7</x:v>
      </x:c>
      <x:c r="N4" s="60" t="n">
        <x:v>8</x:v>
      </x:c>
      <x:c r="O4" s="60" t="n">
        <x:v>9</x:v>
      </x:c>
      <x:c r="P4" s="60" t="n">
        <x:v>10</x:v>
      </x:c>
      <x:c r="Q4" s="60" t="n">
        <x:v>11</x:v>
      </x:c>
      <x:c r="R4" s="60" t="n">
        <x:v>12</x:v>
      </x:c>
      <x:c r="S4" s="60" t="n">
        <x:v>13</x:v>
      </x:c>
      <x:c r="T4" s="60" t="n">
        <x:v>14</x:v>
      </x:c>
      <x:c r="U4" s="60" t="n">
        <x:v>15</x:v>
      </x:c>
      <x:c r="V4" s="60" t="n">
        <x:v>16</x:v>
      </x:c>
      <x:c r="W4" s="60" t="n">
        <x:v>17</x:v>
      </x:c>
      <x:c r="X4" s="60" t="n">
        <x:v>18</x:v>
      </x:c>
      <x:c r="Y4" s="60" t="n">
        <x:v>19</x:v>
      </x:c>
      <x:c r="Z4" s="60" t="n">
        <x:v>20</x:v>
      </x:c>
      <x:c r="AA4" s="60" t="n">
        <x:v>21</x:v>
      </x:c>
      <x:c r="AB4" s="60" t="n">
        <x:v>22</x:v>
      </x:c>
      <x:c r="AC4" s="60" t="n">
        <x:v>23</x:v>
      </x:c>
      <x:c r="AD4" s="60" t="n">
        <x:v>24</x:v>
      </x:c>
      <x:c r="AE4" s="60" t="n">
        <x:v>25</x:v>
      </x:c>
      <x:c r="AF4" s="60" t="n">
        <x:v>26</x:v>
      </x:c>
      <x:c r="AG4" s="60" t="n">
        <x:v>27</x:v>
      </x:c>
      <x:c r="AH4" s="60" t="n">
        <x:v>28</x:v>
      </x:c>
    </x:row>
    <x:row r="5" ht="15" hidden="0" customHeight="1">
      <x:c r="G5" s="62" t="str">
        <x:v>第1天</x:v>
      </x:c>
      <x:c r="H5" s="62" t="str">
        <x:v>第2天</x:v>
      </x:c>
      <x:c r="I5" s="62" t="str">
        <x:v>第3天</x:v>
      </x:c>
      <x:c r="J5" s="62" t="str">
        <x:v>第4天</x:v>
      </x:c>
      <x:c r="K5" s="62" t="str">
        <x:v>第5天</x:v>
      </x:c>
      <x:c r="L5" s="62" t="str">
        <x:v>第6天</x:v>
      </x:c>
      <x:c r="M5" s="62" t="str">
        <x:v>第7天</x:v>
      </x:c>
      <x:c r="N5" s="62" t="str">
        <x:v>第8天</x:v>
      </x:c>
      <x:c r="O5" s="62" t="str">
        <x:v>第9天</x:v>
      </x:c>
      <x:c r="P5" s="62" t="str">
        <x:v>第10天</x:v>
      </x:c>
      <x:c r="Q5" s="62" t="str">
        <x:v>第11天</x:v>
      </x:c>
      <x:c r="R5" s="62" t="str">
        <x:v>第12天</x:v>
      </x:c>
      <x:c r="S5" s="62" t="str">
        <x:v>第13天</x:v>
      </x:c>
      <x:c r="T5" s="62" t="str">
        <x:v>第14天</x:v>
      </x:c>
      <x:c r="U5" s="62" t="str">
        <x:v>第15天</x:v>
      </x:c>
      <x:c r="V5" s="62" t="str">
        <x:v>第16天</x:v>
      </x:c>
      <x:c r="W5" s="62" t="str">
        <x:v>第17天</x:v>
      </x:c>
      <x:c r="X5" s="62" t="str">
        <x:v>第18天</x:v>
      </x:c>
      <x:c r="Y5" s="62" t="str">
        <x:v>第19天</x:v>
      </x:c>
      <x:c r="Z5" s="62" t="str">
        <x:v>第20天</x:v>
      </x:c>
      <x:c r="AA5" s="62" t="str">
        <x:v>第21天</x:v>
      </x:c>
      <x:c r="AB5" s="62" t="str">
        <x:v>第22天</x:v>
      </x:c>
      <x:c r="AC5" s="62" t="str">
        <x:v>第23天</x:v>
      </x:c>
      <x:c r="AD5" s="62" t="str">
        <x:v>第24天</x:v>
      </x:c>
      <x:c r="AE5" s="62" t="str">
        <x:v>第25天</x:v>
      </x:c>
      <x:c r="AF5" s="62" t="str">
        <x:v>第26天</x:v>
      </x:c>
      <x:c r="AG5" s="62" t="str">
        <x:v>第27天</x:v>
      </x:c>
      <x:c r="AH5" s="62" t="str">
        <x:v>第28天</x:v>
      </x:c>
    </x:row>
    <x:row r="6" ht="15" hidden="0" customHeight="1">
      <x:c r="A6" s="12" t="str">
        <x:v>T01</x:v>
      </x:c>
      <x:c r="B6" s="12" t="str">
        <x:v>需求收口与关键指标确定</x:v>
      </x:c>
      <x:c r="C6" s="14" t="str">
        <x:v>成员 A / C</x:v>
      </x:c>
      <x:c r="D6" s="17" t="str">
        <x:v>项目规划</x:v>
      </x:c>
      <x:c r="E6" s="13" t="n">
        <x:v>1</x:v>
      </x:c>
      <x:c r="F6" s="13" t="n">
        <x:v>2</x:v>
      </x:c>
      <x:c r="G6" s="65" t="n">
        <x:f>IF(AND(G$4&gt;=$E6,G$4&lt;=$F6),1,"")</x:f>
        <x:v>1</x:v>
      </x:c>
      <x:c r="H6" s="65" t="n">
        <x:f>IF(AND(H$4&gt;=$E6,H$4&lt;=$F6),1,"")</x:f>
        <x:v>1</x:v>
      </x:c>
      <x:c r="I6" s="65" t="str">
        <x:f>IF(AND(I$4&gt;=$E6,I$4&lt;=$F6),1,"")</x:f>
      </x:c>
      <x:c r="J6" s="65" t="str">
        <x:f>IF(AND(J$4&gt;=$E6,J$4&lt;=$F6),1,"")</x:f>
      </x:c>
      <x:c r="K6" s="65" t="str">
        <x:f>IF(AND(K$4&gt;=$E6,K$4&lt;=$F6),1,"")</x:f>
      </x:c>
      <x:c r="L6" s="68" t="str">
        <x:f>IF(AND(L$4&gt;=$E6,L$4&lt;=$F6),1,"")</x:f>
      </x:c>
      <x:c r="M6" s="68" t="str">
        <x:f>IF(AND(M$4&gt;=$E6,M$4&lt;=$F6),1,"")</x:f>
      </x:c>
      <x:c r="N6" s="65" t="str">
        <x:f>IF(AND(N$4&gt;=$E6,N$4&lt;=$F6),1,"")</x:f>
      </x:c>
      <x:c r="O6" s="65" t="str">
        <x:f>IF(AND(O$4&gt;=$E6,O$4&lt;=$F6),1,"")</x:f>
      </x:c>
      <x:c r="P6" s="65" t="str">
        <x:f>IF(AND(P$4&gt;=$E6,P$4&lt;=$F6),1,"")</x:f>
      </x:c>
      <x:c r="Q6" s="65" t="str">
        <x:f>IF(AND(Q$4&gt;=$E6,Q$4&lt;=$F6),1,"")</x:f>
      </x:c>
      <x:c r="R6" s="65" t="str">
        <x:f>IF(AND(R$4&gt;=$E6,R$4&lt;=$F6),1,"")</x:f>
      </x:c>
      <x:c r="S6" s="68" t="str">
        <x:f>IF(AND(S$4&gt;=$E6,S$4&lt;=$F6),1,"")</x:f>
      </x:c>
      <x:c r="T6" s="68" t="str">
        <x:f>IF(AND(T$4&gt;=$E6,T$4&lt;=$F6),1,"")</x:f>
      </x:c>
      <x:c r="U6" s="65" t="str">
        <x:f>IF(AND(U$4&gt;=$E6,U$4&lt;=$F6),1,"")</x:f>
      </x:c>
      <x:c r="V6" s="65" t="str">
        <x:f>IF(AND(V$4&gt;=$E6,V$4&lt;=$F6),1,"")</x:f>
      </x:c>
      <x:c r="W6" s="65" t="str">
        <x:f>IF(AND(W$4&gt;=$E6,W$4&lt;=$F6),1,"")</x:f>
      </x:c>
      <x:c r="X6" s="65" t="str">
        <x:f>IF(AND(X$4&gt;=$E6,X$4&lt;=$F6),1,"")</x:f>
      </x:c>
      <x:c r="Y6" s="65" t="str">
        <x:f>IF(AND(Y$4&gt;=$E6,Y$4&lt;=$F6),1,"")</x:f>
      </x:c>
      <x:c r="Z6" s="68" t="str">
        <x:f>IF(AND(Z$4&gt;=$E6,Z$4&lt;=$F6),1,"")</x:f>
      </x:c>
      <x:c r="AA6" s="68" t="str">
        <x:f>IF(AND(AA$4&gt;=$E6,AA$4&lt;=$F6),1,"")</x:f>
      </x:c>
      <x:c r="AB6" s="65" t="str">
        <x:f>IF(AND(AB$4&gt;=$E6,AB$4&lt;=$F6),1,"")</x:f>
      </x:c>
      <x:c r="AC6" s="65" t="str">
        <x:f>IF(AND(AC$4&gt;=$E6,AC$4&lt;=$F6),1,"")</x:f>
      </x:c>
      <x:c r="AD6" s="65" t="str">
        <x:f>IF(AND(AD$4&gt;=$E6,AD$4&lt;=$F6),1,"")</x:f>
      </x:c>
      <x:c r="AE6" s="65" t="str">
        <x:f>IF(AND(AE$4&gt;=$E6,AE$4&lt;=$F6),1,"")</x:f>
      </x:c>
      <x:c r="AF6" s="65" t="str">
        <x:f>IF(AND(AF$4&gt;=$E6,AF$4&lt;=$F6),1,"")</x:f>
      </x:c>
      <x:c r="AG6" s="68" t="str">
        <x:f>IF(AND(AG$4&gt;=$E6,AG$4&lt;=$F6),1,"")</x:f>
      </x:c>
      <x:c r="AH6" s="68" t="str">
        <x:f>IF(AND(AH$4&gt;=$E6,AH$4&lt;=$F6),1,"")</x:f>
      </x:c>
    </x:row>
    <x:row r="7" ht="15" hidden="0" customHeight="1">
      <x:c r="A7" s="12" t="str">
        <x:v>T02</x:v>
      </x:c>
      <x:c r="B7" s="12" t="str">
        <x:v>WBS、分工与物料清单初版</x:v>
      </x:c>
      <x:c r="C7" s="18" t="str">
        <x:v>成员 C</x:v>
      </x:c>
      <x:c r="D7" s="17" t="str">
        <x:v>项目规划</x:v>
      </x:c>
      <x:c r="E7" s="13" t="n">
        <x:v>1</x:v>
      </x:c>
      <x:c r="F7" s="13" t="n">
        <x:v>3</x:v>
      </x:c>
      <x:c r="G7" s="65" t="n">
        <x:f>IF(AND(G$4&gt;=$E7,G$4&lt;=$F7),1,"")</x:f>
        <x:v>1</x:v>
      </x:c>
      <x:c r="H7" s="65" t="n">
        <x:f>IF(AND(H$4&gt;=$E7,H$4&lt;=$F7),1,"")</x:f>
        <x:v>1</x:v>
      </x:c>
      <x:c r="I7" s="65" t="n">
        <x:f>IF(AND(I$4&gt;=$E7,I$4&lt;=$F7),1,"")</x:f>
        <x:v>1</x:v>
      </x:c>
      <x:c r="J7" s="65" t="str">
        <x:f>IF(AND(J$4&gt;=$E7,J$4&lt;=$F7),1,"")</x:f>
      </x:c>
      <x:c r="K7" s="65" t="str">
        <x:f>IF(AND(K$4&gt;=$E7,K$4&lt;=$F7),1,"")</x:f>
      </x:c>
      <x:c r="L7" s="68" t="str">
        <x:f>IF(AND(L$4&gt;=$E7,L$4&lt;=$F7),1,"")</x:f>
      </x:c>
      <x:c r="M7" s="68" t="str">
        <x:f>IF(AND(M$4&gt;=$E7,M$4&lt;=$F7),1,"")</x:f>
      </x:c>
      <x:c r="N7" s="65" t="str">
        <x:f>IF(AND(N$4&gt;=$E7,N$4&lt;=$F7),1,"")</x:f>
      </x:c>
      <x:c r="O7" s="65" t="str">
        <x:f>IF(AND(O$4&gt;=$E7,O$4&lt;=$F7),1,"")</x:f>
      </x:c>
      <x:c r="P7" s="65" t="str">
        <x:f>IF(AND(P$4&gt;=$E7,P$4&lt;=$F7),1,"")</x:f>
      </x:c>
      <x:c r="Q7" s="65" t="str">
        <x:f>IF(AND(Q$4&gt;=$E7,Q$4&lt;=$F7),1,"")</x:f>
      </x:c>
      <x:c r="R7" s="65" t="str">
        <x:f>IF(AND(R$4&gt;=$E7,R$4&lt;=$F7),1,"")</x:f>
      </x:c>
      <x:c r="S7" s="68" t="str">
        <x:f>IF(AND(S$4&gt;=$E7,S$4&lt;=$F7),1,"")</x:f>
      </x:c>
      <x:c r="T7" s="68" t="str">
        <x:f>IF(AND(T$4&gt;=$E7,T$4&lt;=$F7),1,"")</x:f>
      </x:c>
      <x:c r="U7" s="65" t="str">
        <x:f>IF(AND(U$4&gt;=$E7,U$4&lt;=$F7),1,"")</x:f>
      </x:c>
      <x:c r="V7" s="65" t="str">
        <x:f>IF(AND(V$4&gt;=$E7,V$4&lt;=$F7),1,"")</x:f>
      </x:c>
      <x:c r="W7" s="65" t="str">
        <x:f>IF(AND(W$4&gt;=$E7,W$4&lt;=$F7),1,"")</x:f>
      </x:c>
      <x:c r="X7" s="65" t="str">
        <x:f>IF(AND(X$4&gt;=$E7,X$4&lt;=$F7),1,"")</x:f>
      </x:c>
      <x:c r="Y7" s="65" t="str">
        <x:f>IF(AND(Y$4&gt;=$E7,Y$4&lt;=$F7),1,"")</x:f>
      </x:c>
      <x:c r="Z7" s="68" t="str">
        <x:f>IF(AND(Z$4&gt;=$E7,Z$4&lt;=$F7),1,"")</x:f>
      </x:c>
      <x:c r="AA7" s="68" t="str">
        <x:f>IF(AND(AA$4&gt;=$E7,AA$4&lt;=$F7),1,"")</x:f>
      </x:c>
      <x:c r="AB7" s="65" t="str">
        <x:f>IF(AND(AB$4&gt;=$E7,AB$4&lt;=$F7),1,"")</x:f>
      </x:c>
      <x:c r="AC7" s="65" t="str">
        <x:f>IF(AND(AC$4&gt;=$E7,AC$4&lt;=$F7),1,"")</x:f>
      </x:c>
      <x:c r="AD7" s="65" t="str">
        <x:f>IF(AND(AD$4&gt;=$E7,AD$4&lt;=$F7),1,"")</x:f>
      </x:c>
      <x:c r="AE7" s="65" t="str">
        <x:f>IF(AND(AE$4&gt;=$E7,AE$4&lt;=$F7),1,"")</x:f>
      </x:c>
      <x:c r="AF7" s="65" t="str">
        <x:f>IF(AND(AF$4&gt;=$E7,AF$4&lt;=$F7),1,"")</x:f>
      </x:c>
      <x:c r="AG7" s="68" t="str">
        <x:f>IF(AND(AG$4&gt;=$E7,AG$4&lt;=$F7),1,"")</x:f>
      </x:c>
      <x:c r="AH7" s="68" t="str">
        <x:f>IF(AND(AH$4&gt;=$E7,AH$4&lt;=$F7),1,"")</x:f>
      </x:c>
    </x:row>
    <x:row r="8" ht="15" hidden="0" customHeight="1">
      <x:c r="A8" s="12" t="str">
        <x:v>T03</x:v>
      </x:c>
      <x:c r="B8" s="12" t="str">
        <x:v>方案 PPT 与汇报材料准备</x:v>
      </x:c>
      <x:c r="C8" s="14" t="str">
        <x:v>成员 A / C</x:v>
      </x:c>
      <x:c r="D8" s="17" t="str">
        <x:v>项目规划</x:v>
      </x:c>
      <x:c r="E8" s="13" t="n">
        <x:v>1</x:v>
      </x:c>
      <x:c r="F8" s="13" t="n">
        <x:v>5</x:v>
      </x:c>
      <x:c r="G8" s="65" t="n">
        <x:f>IF(AND(G$4&gt;=$E8,G$4&lt;=$F8),1,"")</x:f>
        <x:v>1</x:v>
      </x:c>
      <x:c r="H8" s="65" t="n">
        <x:f>IF(AND(H$4&gt;=$E8,H$4&lt;=$F8),1,"")</x:f>
        <x:v>1</x:v>
      </x:c>
      <x:c r="I8" s="65" t="n">
        <x:f>IF(AND(I$4&gt;=$E8,I$4&lt;=$F8),1,"")</x:f>
        <x:v>1</x:v>
      </x:c>
      <x:c r="J8" s="65" t="n">
        <x:f>IF(AND(J$4&gt;=$E8,J$4&lt;=$F8),1,"")</x:f>
        <x:v>1</x:v>
      </x:c>
      <x:c r="K8" s="65" t="n">
        <x:f>IF(AND(K$4&gt;=$E8,K$4&lt;=$F8),1,"")</x:f>
        <x:v>1</x:v>
      </x:c>
      <x:c r="L8" s="68" t="str">
        <x:f>IF(AND(L$4&gt;=$E8,L$4&lt;=$F8),1,"")</x:f>
      </x:c>
      <x:c r="M8" s="68" t="str">
        <x:f>IF(AND(M$4&gt;=$E8,M$4&lt;=$F8),1,"")</x:f>
      </x:c>
      <x:c r="N8" s="65" t="str">
        <x:f>IF(AND(N$4&gt;=$E8,N$4&lt;=$F8),1,"")</x:f>
      </x:c>
      <x:c r="O8" s="65" t="str">
        <x:f>IF(AND(O$4&gt;=$E8,O$4&lt;=$F8),1,"")</x:f>
      </x:c>
      <x:c r="P8" s="65" t="str">
        <x:f>IF(AND(P$4&gt;=$E8,P$4&lt;=$F8),1,"")</x:f>
      </x:c>
      <x:c r="Q8" s="65" t="str">
        <x:f>IF(AND(Q$4&gt;=$E8,Q$4&lt;=$F8),1,"")</x:f>
      </x:c>
      <x:c r="R8" s="65" t="str">
        <x:f>IF(AND(R$4&gt;=$E8,R$4&lt;=$F8),1,"")</x:f>
      </x:c>
      <x:c r="S8" s="68" t="str">
        <x:f>IF(AND(S$4&gt;=$E8,S$4&lt;=$F8),1,"")</x:f>
      </x:c>
      <x:c r="T8" s="68" t="str">
        <x:f>IF(AND(T$4&gt;=$E8,T$4&lt;=$F8),1,"")</x:f>
      </x:c>
      <x:c r="U8" s="65" t="str">
        <x:f>IF(AND(U$4&gt;=$E8,U$4&lt;=$F8),1,"")</x:f>
      </x:c>
      <x:c r="V8" s="65" t="str">
        <x:f>IF(AND(V$4&gt;=$E8,V$4&lt;=$F8),1,"")</x:f>
      </x:c>
      <x:c r="W8" s="65" t="str">
        <x:f>IF(AND(W$4&gt;=$E8,W$4&lt;=$F8),1,"")</x:f>
      </x:c>
      <x:c r="X8" s="65" t="str">
        <x:f>IF(AND(X$4&gt;=$E8,X$4&lt;=$F8),1,"")</x:f>
      </x:c>
      <x:c r="Y8" s="65" t="str">
        <x:f>IF(AND(Y$4&gt;=$E8,Y$4&lt;=$F8),1,"")</x:f>
      </x:c>
      <x:c r="Z8" s="68" t="str">
        <x:f>IF(AND(Z$4&gt;=$E8,Z$4&lt;=$F8),1,"")</x:f>
      </x:c>
      <x:c r="AA8" s="68" t="str">
        <x:f>IF(AND(AA$4&gt;=$E8,AA$4&lt;=$F8),1,"")</x:f>
      </x:c>
      <x:c r="AB8" s="65" t="str">
        <x:f>IF(AND(AB$4&gt;=$E8,AB$4&lt;=$F8),1,"")</x:f>
      </x:c>
      <x:c r="AC8" s="65" t="str">
        <x:f>IF(AND(AC$4&gt;=$E8,AC$4&lt;=$F8),1,"")</x:f>
      </x:c>
      <x:c r="AD8" s="65" t="str">
        <x:f>IF(AND(AD$4&gt;=$E8,AD$4&lt;=$F8),1,"")</x:f>
      </x:c>
      <x:c r="AE8" s="65" t="str">
        <x:f>IF(AND(AE$4&gt;=$E8,AE$4&lt;=$F8),1,"")</x:f>
      </x:c>
      <x:c r="AF8" s="65" t="str">
        <x:f>IF(AND(AF$4&gt;=$E8,AF$4&lt;=$F8),1,"")</x:f>
      </x:c>
      <x:c r="AG8" s="68" t="str">
        <x:f>IF(AND(AG$4&gt;=$E8,AG$4&lt;=$F8),1,"")</x:f>
      </x:c>
      <x:c r="AH8" s="68" t="str">
        <x:f>IF(AND(AH$4&gt;=$E8,AH$4&lt;=$F8),1,"")</x:f>
      </x:c>
    </x:row>
    <x:row r="9" ht="15" hidden="0" customHeight="1">
      <x:c r="A9" s="12" t="str">
        <x:v>T04</x:v>
      </x:c>
      <x:c r="B9" s="12" t="str">
        <x:v>OpenBot App 环境搭建与编译</x:v>
      </x:c>
      <x:c r="C9" s="19" t="str">
        <x:v>成员 A</x:v>
      </x:c>
      <x:c r="D9" s="22" t="str">
        <x:v>上位机</x:v>
      </x:c>
      <x:c r="E9" s="13" t="n">
        <x:v>1</x:v>
      </x:c>
      <x:c r="F9" s="13" t="n">
        <x:v>4</x:v>
      </x:c>
      <x:c r="G9" s="65" t="n">
        <x:f>IF(AND(G$4&gt;=$E9,G$4&lt;=$F9),1,"")</x:f>
        <x:v>1</x:v>
      </x:c>
      <x:c r="H9" s="65" t="n">
        <x:f>IF(AND(H$4&gt;=$E9,H$4&lt;=$F9),1,"")</x:f>
        <x:v>1</x:v>
      </x:c>
      <x:c r="I9" s="65" t="n">
        <x:f>IF(AND(I$4&gt;=$E9,I$4&lt;=$F9),1,"")</x:f>
        <x:v>1</x:v>
      </x:c>
      <x:c r="J9" s="65" t="n">
        <x:f>IF(AND(J$4&gt;=$E9,J$4&lt;=$F9),1,"")</x:f>
        <x:v>1</x:v>
      </x:c>
      <x:c r="K9" s="65" t="str">
        <x:f>IF(AND(K$4&gt;=$E9,K$4&lt;=$F9),1,"")</x:f>
      </x:c>
      <x:c r="L9" s="68" t="str">
        <x:f>IF(AND(L$4&gt;=$E9,L$4&lt;=$F9),1,"")</x:f>
      </x:c>
      <x:c r="M9" s="68" t="str">
        <x:f>IF(AND(M$4&gt;=$E9,M$4&lt;=$F9),1,"")</x:f>
      </x:c>
      <x:c r="N9" s="65" t="str">
        <x:f>IF(AND(N$4&gt;=$E9,N$4&lt;=$F9),1,"")</x:f>
      </x:c>
      <x:c r="O9" s="65" t="str">
        <x:f>IF(AND(O$4&gt;=$E9,O$4&lt;=$F9),1,"")</x:f>
      </x:c>
      <x:c r="P9" s="65" t="str">
        <x:f>IF(AND(P$4&gt;=$E9,P$4&lt;=$F9),1,"")</x:f>
      </x:c>
      <x:c r="Q9" s="65" t="str">
        <x:f>IF(AND(Q$4&gt;=$E9,Q$4&lt;=$F9),1,"")</x:f>
      </x:c>
      <x:c r="R9" s="65" t="str">
        <x:f>IF(AND(R$4&gt;=$E9,R$4&lt;=$F9),1,"")</x:f>
      </x:c>
      <x:c r="S9" s="68" t="str">
        <x:f>IF(AND(S$4&gt;=$E9,S$4&lt;=$F9),1,"")</x:f>
      </x:c>
      <x:c r="T9" s="68" t="str">
        <x:f>IF(AND(T$4&gt;=$E9,T$4&lt;=$F9),1,"")</x:f>
      </x:c>
      <x:c r="U9" s="65" t="str">
        <x:f>IF(AND(U$4&gt;=$E9,U$4&lt;=$F9),1,"")</x:f>
      </x:c>
      <x:c r="V9" s="65" t="str">
        <x:f>IF(AND(V$4&gt;=$E9,V$4&lt;=$F9),1,"")</x:f>
      </x:c>
      <x:c r="W9" s="65" t="str">
        <x:f>IF(AND(W$4&gt;=$E9,W$4&lt;=$F9),1,"")</x:f>
      </x:c>
      <x:c r="X9" s="65" t="str">
        <x:f>IF(AND(X$4&gt;=$E9,X$4&lt;=$F9),1,"")</x:f>
      </x:c>
      <x:c r="Y9" s="65" t="str">
        <x:f>IF(AND(Y$4&gt;=$E9,Y$4&lt;=$F9),1,"")</x:f>
      </x:c>
      <x:c r="Z9" s="68" t="str">
        <x:f>IF(AND(Z$4&gt;=$E9,Z$4&lt;=$F9),1,"")</x:f>
      </x:c>
      <x:c r="AA9" s="68" t="str">
        <x:f>IF(AND(AA$4&gt;=$E9,AA$4&lt;=$F9),1,"")</x:f>
      </x:c>
      <x:c r="AB9" s="65" t="str">
        <x:f>IF(AND(AB$4&gt;=$E9,AB$4&lt;=$F9),1,"")</x:f>
      </x:c>
      <x:c r="AC9" s="65" t="str">
        <x:f>IF(AND(AC$4&gt;=$E9,AC$4&lt;=$F9),1,"")</x:f>
      </x:c>
      <x:c r="AD9" s="65" t="str">
        <x:f>IF(AND(AD$4&gt;=$E9,AD$4&lt;=$F9),1,"")</x:f>
      </x:c>
      <x:c r="AE9" s="65" t="str">
        <x:f>IF(AND(AE$4&gt;=$E9,AE$4&lt;=$F9),1,"")</x:f>
      </x:c>
      <x:c r="AF9" s="65" t="str">
        <x:f>IF(AND(AF$4&gt;=$E9,AF$4&lt;=$F9),1,"")</x:f>
      </x:c>
      <x:c r="AG9" s="68" t="str">
        <x:f>IF(AND(AG$4&gt;=$E9,AG$4&lt;=$F9),1,"")</x:f>
      </x:c>
      <x:c r="AH9" s="68" t="str">
        <x:f>IF(AND(AH$4&gt;=$E9,AH$4&lt;=$F9),1,"")</x:f>
      </x:c>
    </x:row>
    <x:row r="10" ht="15" hidden="0" customHeight="1">
      <x:c r="A10" s="12" t="str">
        <x:v>T05</x:v>
      </x:c>
      <x:c r="B10" s="12" t="str">
        <x:v>MCU 环境搭建与固件烧录</x:v>
      </x:c>
      <x:c r="C10" s="23" t="str">
        <x:v>成员 B</x:v>
      </x:c>
      <x:c r="D10" s="26" t="str">
        <x:v>下位机</x:v>
      </x:c>
      <x:c r="E10" s="13" t="n">
        <x:v>1</x:v>
      </x:c>
      <x:c r="F10" s="13" t="n">
        <x:v>3</x:v>
      </x:c>
      <x:c r="G10" s="65" t="n">
        <x:f>IF(AND(G$4&gt;=$E10,G$4&lt;=$F10),1,"")</x:f>
        <x:v>1</x:v>
      </x:c>
      <x:c r="H10" s="65" t="n">
        <x:f>IF(AND(H$4&gt;=$E10,H$4&lt;=$F10),1,"")</x:f>
        <x:v>1</x:v>
      </x:c>
      <x:c r="I10" s="65" t="n">
        <x:f>IF(AND(I$4&gt;=$E10,I$4&lt;=$F10),1,"")</x:f>
        <x:v>1</x:v>
      </x:c>
      <x:c r="J10" s="65" t="str">
        <x:f>IF(AND(J$4&gt;=$E10,J$4&lt;=$F10),1,"")</x:f>
      </x:c>
      <x:c r="K10" s="65" t="str">
        <x:f>IF(AND(K$4&gt;=$E10,K$4&lt;=$F10),1,"")</x:f>
      </x:c>
      <x:c r="L10" s="68" t="str">
        <x:f>IF(AND(L$4&gt;=$E10,L$4&lt;=$F10),1,"")</x:f>
      </x:c>
      <x:c r="M10" s="68" t="str">
        <x:f>IF(AND(M$4&gt;=$E10,M$4&lt;=$F10),1,"")</x:f>
      </x:c>
      <x:c r="N10" s="65" t="str">
        <x:f>IF(AND(N$4&gt;=$E10,N$4&lt;=$F10),1,"")</x:f>
      </x:c>
      <x:c r="O10" s="65" t="str">
        <x:f>IF(AND(O$4&gt;=$E10,O$4&lt;=$F10),1,"")</x:f>
      </x:c>
      <x:c r="P10" s="65" t="str">
        <x:f>IF(AND(P$4&gt;=$E10,P$4&lt;=$F10),1,"")</x:f>
      </x:c>
      <x:c r="Q10" s="65" t="str">
        <x:f>IF(AND(Q$4&gt;=$E10,Q$4&lt;=$F10),1,"")</x:f>
      </x:c>
      <x:c r="R10" s="65" t="str">
        <x:f>IF(AND(R$4&gt;=$E10,R$4&lt;=$F10),1,"")</x:f>
      </x:c>
      <x:c r="S10" s="68" t="str">
        <x:f>IF(AND(S$4&gt;=$E10,S$4&lt;=$F10),1,"")</x:f>
      </x:c>
      <x:c r="T10" s="68" t="str">
        <x:f>IF(AND(T$4&gt;=$E10,T$4&lt;=$F10),1,"")</x:f>
      </x:c>
      <x:c r="U10" s="65" t="str">
        <x:f>IF(AND(U$4&gt;=$E10,U$4&lt;=$F10),1,"")</x:f>
      </x:c>
      <x:c r="V10" s="65" t="str">
        <x:f>IF(AND(V$4&gt;=$E10,V$4&lt;=$F10),1,"")</x:f>
      </x:c>
      <x:c r="W10" s="65" t="str">
        <x:f>IF(AND(W$4&gt;=$E10,W$4&lt;=$F10),1,"")</x:f>
      </x:c>
      <x:c r="X10" s="65" t="str">
        <x:f>IF(AND(X$4&gt;=$E10,X$4&lt;=$F10),1,"")</x:f>
      </x:c>
      <x:c r="Y10" s="65" t="str">
        <x:f>IF(AND(Y$4&gt;=$E10,Y$4&lt;=$F10),1,"")</x:f>
      </x:c>
      <x:c r="Z10" s="68" t="str">
        <x:f>IF(AND(Z$4&gt;=$E10,Z$4&lt;=$F10),1,"")</x:f>
      </x:c>
      <x:c r="AA10" s="68" t="str">
        <x:f>IF(AND(AA$4&gt;=$E10,AA$4&lt;=$F10),1,"")</x:f>
      </x:c>
      <x:c r="AB10" s="65" t="str">
        <x:f>IF(AND(AB$4&gt;=$E10,AB$4&lt;=$F10),1,"")</x:f>
      </x:c>
      <x:c r="AC10" s="65" t="str">
        <x:f>IF(AND(AC$4&gt;=$E10,AC$4&lt;=$F10),1,"")</x:f>
      </x:c>
      <x:c r="AD10" s="65" t="str">
        <x:f>IF(AND(AD$4&gt;=$E10,AD$4&lt;=$F10),1,"")</x:f>
      </x:c>
      <x:c r="AE10" s="65" t="str">
        <x:f>IF(AND(AE$4&gt;=$E10,AE$4&lt;=$F10),1,"")</x:f>
      </x:c>
      <x:c r="AF10" s="65" t="str">
        <x:f>IF(AND(AF$4&gt;=$E10,AF$4&lt;=$F10),1,"")</x:f>
      </x:c>
      <x:c r="AG10" s="68" t="str">
        <x:f>IF(AND(AG$4&gt;=$E10,AG$4&lt;=$F10),1,"")</x:f>
      </x:c>
      <x:c r="AH10" s="68" t="str">
        <x:f>IF(AND(AH$4&gt;=$E10,AH$4&lt;=$F10),1,"")</x:f>
      </x:c>
    </x:row>
    <x:row r="11" ht="15" hidden="0" customHeight="1">
      <x:c r="A11" s="12" t="str">
        <x:v>T06</x:v>
      </x:c>
      <x:c r="B11" s="12" t="str">
        <x:v>底盘、电机、电源到货检查</x:v>
      </x:c>
      <x:c r="C11" s="27" t="str">
        <x:v>成员 B / C</x:v>
      </x:c>
      <x:c r="D11" s="30" t="str">
        <x:v>硬件</x:v>
      </x:c>
      <x:c r="E11" s="13" t="n">
        <x:v>1</x:v>
      </x:c>
      <x:c r="F11" s="13" t="n">
        <x:v>4</x:v>
      </x:c>
      <x:c r="G11" s="65" t="n">
        <x:f>IF(AND(G$4&gt;=$E11,G$4&lt;=$F11),1,"")</x:f>
        <x:v>1</x:v>
      </x:c>
      <x:c r="H11" s="65" t="n">
        <x:f>IF(AND(H$4&gt;=$E11,H$4&lt;=$F11),1,"")</x:f>
        <x:v>1</x:v>
      </x:c>
      <x:c r="I11" s="65" t="n">
        <x:f>IF(AND(I$4&gt;=$E11,I$4&lt;=$F11),1,"")</x:f>
        <x:v>1</x:v>
      </x:c>
      <x:c r="J11" s="65" t="n">
        <x:f>IF(AND(J$4&gt;=$E11,J$4&lt;=$F11),1,"")</x:f>
        <x:v>1</x:v>
      </x:c>
      <x:c r="K11" s="65" t="str">
        <x:f>IF(AND(K$4&gt;=$E11,K$4&lt;=$F11),1,"")</x:f>
      </x:c>
      <x:c r="L11" s="68" t="str">
        <x:f>IF(AND(L$4&gt;=$E11,L$4&lt;=$F11),1,"")</x:f>
      </x:c>
      <x:c r="M11" s="68" t="str">
        <x:f>IF(AND(M$4&gt;=$E11,M$4&lt;=$F11),1,"")</x:f>
      </x:c>
      <x:c r="N11" s="65" t="str">
        <x:f>IF(AND(N$4&gt;=$E11,N$4&lt;=$F11),1,"")</x:f>
      </x:c>
      <x:c r="O11" s="65" t="str">
        <x:f>IF(AND(O$4&gt;=$E11,O$4&lt;=$F11),1,"")</x:f>
      </x:c>
      <x:c r="P11" s="65" t="str">
        <x:f>IF(AND(P$4&gt;=$E11,P$4&lt;=$F11),1,"")</x:f>
      </x:c>
      <x:c r="Q11" s="65" t="str">
        <x:f>IF(AND(Q$4&gt;=$E11,Q$4&lt;=$F11),1,"")</x:f>
      </x:c>
      <x:c r="R11" s="65" t="str">
        <x:f>IF(AND(R$4&gt;=$E11,R$4&lt;=$F11),1,"")</x:f>
      </x:c>
      <x:c r="S11" s="68" t="str">
        <x:f>IF(AND(S$4&gt;=$E11,S$4&lt;=$F11),1,"")</x:f>
      </x:c>
      <x:c r="T11" s="68" t="str">
        <x:f>IF(AND(T$4&gt;=$E11,T$4&lt;=$F11),1,"")</x:f>
      </x:c>
      <x:c r="U11" s="65" t="str">
        <x:f>IF(AND(U$4&gt;=$E11,U$4&lt;=$F11),1,"")</x:f>
      </x:c>
      <x:c r="V11" s="65" t="str">
        <x:f>IF(AND(V$4&gt;=$E11,V$4&lt;=$F11),1,"")</x:f>
      </x:c>
      <x:c r="W11" s="65" t="str">
        <x:f>IF(AND(W$4&gt;=$E11,W$4&lt;=$F11),1,"")</x:f>
      </x:c>
      <x:c r="X11" s="65" t="str">
        <x:f>IF(AND(X$4&gt;=$E11,X$4&lt;=$F11),1,"")</x:f>
      </x:c>
      <x:c r="Y11" s="65" t="str">
        <x:f>IF(AND(Y$4&gt;=$E11,Y$4&lt;=$F11),1,"")</x:f>
      </x:c>
      <x:c r="Z11" s="68" t="str">
        <x:f>IF(AND(Z$4&gt;=$E11,Z$4&lt;=$F11),1,"")</x:f>
      </x:c>
      <x:c r="AA11" s="68" t="str">
        <x:f>IF(AND(AA$4&gt;=$E11,AA$4&lt;=$F11),1,"")</x:f>
      </x:c>
      <x:c r="AB11" s="65" t="str">
        <x:f>IF(AND(AB$4&gt;=$E11,AB$4&lt;=$F11),1,"")</x:f>
      </x:c>
      <x:c r="AC11" s="65" t="str">
        <x:f>IF(AND(AC$4&gt;=$E11,AC$4&lt;=$F11),1,"")</x:f>
      </x:c>
      <x:c r="AD11" s="65" t="str">
        <x:f>IF(AND(AD$4&gt;=$E11,AD$4&lt;=$F11),1,"")</x:f>
      </x:c>
      <x:c r="AE11" s="65" t="str">
        <x:f>IF(AND(AE$4&gt;=$E11,AE$4&lt;=$F11),1,"")</x:f>
      </x:c>
      <x:c r="AF11" s="65" t="str">
        <x:f>IF(AND(AF$4&gt;=$E11,AF$4&lt;=$F11),1,"")</x:f>
      </x:c>
      <x:c r="AG11" s="68" t="str">
        <x:f>IF(AND(AG$4&gt;=$E11,AG$4&lt;=$F11),1,"")</x:f>
      </x:c>
      <x:c r="AH11" s="68" t="str">
        <x:f>IF(AND(AH$4&gt;=$E11,AH$4&lt;=$F11),1,"")</x:f>
      </x:c>
    </x:row>
    <x:row r="12" ht="15" hidden="0" customHeight="1">
      <x:c r="A12" s="12" t="str">
        <x:v>T07</x:v>
      </x:c>
      <x:c r="B12" s="12" t="str">
        <x:v>手机与下位机串口通信打通</x:v>
      </x:c>
      <x:c r="C12" s="31" t="str">
        <x:v>成员 B / A</x:v>
      </x:c>
      <x:c r="D12" s="26" t="str">
        <x:v>下位机</x:v>
      </x:c>
      <x:c r="E12" s="13" t="n">
        <x:v>3</x:v>
      </x:c>
      <x:c r="F12" s="13" t="n">
        <x:v>6</x:v>
      </x:c>
      <x:c r="G12" s="65" t="str">
        <x:f>IF(AND(G$4&gt;=$E12,G$4&lt;=$F12),1,"")</x:f>
      </x:c>
      <x:c r="H12" s="65" t="str">
        <x:f>IF(AND(H$4&gt;=$E12,H$4&lt;=$F12),1,"")</x:f>
      </x:c>
      <x:c r="I12" s="65" t="n">
        <x:f>IF(AND(I$4&gt;=$E12,I$4&lt;=$F12),1,"")</x:f>
        <x:v>1</x:v>
      </x:c>
      <x:c r="J12" s="65" t="n">
        <x:f>IF(AND(J$4&gt;=$E12,J$4&lt;=$F12),1,"")</x:f>
        <x:v>1</x:v>
      </x:c>
      <x:c r="K12" s="65" t="n">
        <x:f>IF(AND(K$4&gt;=$E12,K$4&lt;=$F12),1,"")</x:f>
        <x:v>1</x:v>
      </x:c>
      <x:c r="L12" s="68" t="n">
        <x:f>IF(AND(L$4&gt;=$E12,L$4&lt;=$F12),1,"")</x:f>
        <x:v>1</x:v>
      </x:c>
      <x:c r="M12" s="68" t="str">
        <x:f>IF(AND(M$4&gt;=$E12,M$4&lt;=$F12),1,"")</x:f>
      </x:c>
      <x:c r="N12" s="65" t="str">
        <x:f>IF(AND(N$4&gt;=$E12,N$4&lt;=$F12),1,"")</x:f>
      </x:c>
      <x:c r="O12" s="65" t="str">
        <x:f>IF(AND(O$4&gt;=$E12,O$4&lt;=$F12),1,"")</x:f>
      </x:c>
      <x:c r="P12" s="65" t="str">
        <x:f>IF(AND(P$4&gt;=$E12,P$4&lt;=$F12),1,"")</x:f>
      </x:c>
      <x:c r="Q12" s="65" t="str">
        <x:f>IF(AND(Q$4&gt;=$E12,Q$4&lt;=$F12),1,"")</x:f>
      </x:c>
      <x:c r="R12" s="65" t="str">
        <x:f>IF(AND(R$4&gt;=$E12,R$4&lt;=$F12),1,"")</x:f>
      </x:c>
      <x:c r="S12" s="68" t="str">
        <x:f>IF(AND(S$4&gt;=$E12,S$4&lt;=$F12),1,"")</x:f>
      </x:c>
      <x:c r="T12" s="68" t="str">
        <x:f>IF(AND(T$4&gt;=$E12,T$4&lt;=$F12),1,"")</x:f>
      </x:c>
      <x:c r="U12" s="65" t="str">
        <x:f>IF(AND(U$4&gt;=$E12,U$4&lt;=$F12),1,"")</x:f>
      </x:c>
      <x:c r="V12" s="65" t="str">
        <x:f>IF(AND(V$4&gt;=$E12,V$4&lt;=$F12),1,"")</x:f>
      </x:c>
      <x:c r="W12" s="65" t="str">
        <x:f>IF(AND(W$4&gt;=$E12,W$4&lt;=$F12),1,"")</x:f>
      </x:c>
      <x:c r="X12" s="65" t="str">
        <x:f>IF(AND(X$4&gt;=$E12,X$4&lt;=$F12),1,"")</x:f>
      </x:c>
      <x:c r="Y12" s="65" t="str">
        <x:f>IF(AND(Y$4&gt;=$E12,Y$4&lt;=$F12),1,"")</x:f>
      </x:c>
      <x:c r="Z12" s="68" t="str">
        <x:f>IF(AND(Z$4&gt;=$E12,Z$4&lt;=$F12),1,"")</x:f>
      </x:c>
      <x:c r="AA12" s="68" t="str">
        <x:f>IF(AND(AA$4&gt;=$E12,AA$4&lt;=$F12),1,"")</x:f>
      </x:c>
      <x:c r="AB12" s="65" t="str">
        <x:f>IF(AND(AB$4&gt;=$E12,AB$4&lt;=$F12),1,"")</x:f>
      </x:c>
      <x:c r="AC12" s="65" t="str">
        <x:f>IF(AND(AC$4&gt;=$E12,AC$4&lt;=$F12),1,"")</x:f>
      </x:c>
      <x:c r="AD12" s="65" t="str">
        <x:f>IF(AND(AD$4&gt;=$E12,AD$4&lt;=$F12),1,"")</x:f>
      </x:c>
      <x:c r="AE12" s="65" t="str">
        <x:f>IF(AND(AE$4&gt;=$E12,AE$4&lt;=$F12),1,"")</x:f>
      </x:c>
      <x:c r="AF12" s="65" t="str">
        <x:f>IF(AND(AF$4&gt;=$E12,AF$4&lt;=$F12),1,"")</x:f>
      </x:c>
      <x:c r="AG12" s="68" t="str">
        <x:f>IF(AND(AG$4&gt;=$E12,AG$4&lt;=$F12),1,"")</x:f>
      </x:c>
      <x:c r="AH12" s="68" t="str">
        <x:f>IF(AND(AH$4&gt;=$E12,AH$4&lt;=$F12),1,"")</x:f>
      </x:c>
    </x:row>
    <x:row r="13" ht="15" hidden="0" customHeight="1">
      <x:c r="A13" s="12" t="str">
        <x:v>T08</x:v>
      </x:c>
      <x:c r="B13" s="12" t="str">
        <x:v>底盘装配与基础运动联调</x:v>
      </x:c>
      <x:c r="C13" s="23" t="str">
        <x:v>成员 B</x:v>
      </x:c>
      <x:c r="D13" s="30" t="str">
        <x:v>硬件</x:v>
      </x:c>
      <x:c r="E13" s="13" t="n">
        <x:v>3</x:v>
      </x:c>
      <x:c r="F13" s="13" t="n">
        <x:v>8</x:v>
      </x:c>
      <x:c r="G13" s="65" t="str">
        <x:f>IF(AND(G$4&gt;=$E13,G$4&lt;=$F13),1,"")</x:f>
      </x:c>
      <x:c r="H13" s="65" t="str">
        <x:f>IF(AND(H$4&gt;=$E13,H$4&lt;=$F13),1,"")</x:f>
      </x:c>
      <x:c r="I13" s="65" t="n">
        <x:f>IF(AND(I$4&gt;=$E13,I$4&lt;=$F13),1,"")</x:f>
        <x:v>1</x:v>
      </x:c>
      <x:c r="J13" s="65" t="n">
        <x:f>IF(AND(J$4&gt;=$E13,J$4&lt;=$F13),1,"")</x:f>
        <x:v>1</x:v>
      </x:c>
      <x:c r="K13" s="65" t="n">
        <x:f>IF(AND(K$4&gt;=$E13,K$4&lt;=$F13),1,"")</x:f>
        <x:v>1</x:v>
      </x:c>
      <x:c r="L13" s="68" t="n">
        <x:f>IF(AND(L$4&gt;=$E13,L$4&lt;=$F13),1,"")</x:f>
        <x:v>1</x:v>
      </x:c>
      <x:c r="M13" s="68" t="n">
        <x:f>IF(AND(M$4&gt;=$E13,M$4&lt;=$F13),1,"")</x:f>
        <x:v>1</x:v>
      </x:c>
      <x:c r="N13" s="65" t="n">
        <x:f>IF(AND(N$4&gt;=$E13,N$4&lt;=$F13),1,"")</x:f>
        <x:v>1</x:v>
      </x:c>
      <x:c r="O13" s="65" t="str">
        <x:f>IF(AND(O$4&gt;=$E13,O$4&lt;=$F13),1,"")</x:f>
      </x:c>
      <x:c r="P13" s="65" t="str">
        <x:f>IF(AND(P$4&gt;=$E13,P$4&lt;=$F13),1,"")</x:f>
      </x:c>
      <x:c r="Q13" s="65" t="str">
        <x:f>IF(AND(Q$4&gt;=$E13,Q$4&lt;=$F13),1,"")</x:f>
      </x:c>
      <x:c r="R13" s="65" t="str">
        <x:f>IF(AND(R$4&gt;=$E13,R$4&lt;=$F13),1,"")</x:f>
      </x:c>
      <x:c r="S13" s="68" t="str">
        <x:f>IF(AND(S$4&gt;=$E13,S$4&lt;=$F13),1,"")</x:f>
      </x:c>
      <x:c r="T13" s="68" t="str">
        <x:f>IF(AND(T$4&gt;=$E13,T$4&lt;=$F13),1,"")</x:f>
      </x:c>
      <x:c r="U13" s="65" t="str">
        <x:f>IF(AND(U$4&gt;=$E13,U$4&lt;=$F13),1,"")</x:f>
      </x:c>
      <x:c r="V13" s="65" t="str">
        <x:f>IF(AND(V$4&gt;=$E13,V$4&lt;=$F13),1,"")</x:f>
      </x:c>
      <x:c r="W13" s="65" t="str">
        <x:f>IF(AND(W$4&gt;=$E13,W$4&lt;=$F13),1,"")</x:f>
      </x:c>
      <x:c r="X13" s="65" t="str">
        <x:f>IF(AND(X$4&gt;=$E13,X$4&lt;=$F13),1,"")</x:f>
      </x:c>
      <x:c r="Y13" s="65" t="str">
        <x:f>IF(AND(Y$4&gt;=$E13,Y$4&lt;=$F13),1,"")</x:f>
      </x:c>
      <x:c r="Z13" s="68" t="str">
        <x:f>IF(AND(Z$4&gt;=$E13,Z$4&lt;=$F13),1,"")</x:f>
      </x:c>
      <x:c r="AA13" s="68" t="str">
        <x:f>IF(AND(AA$4&gt;=$E13,AA$4&lt;=$F13),1,"")</x:f>
      </x:c>
      <x:c r="AB13" s="65" t="str">
        <x:f>IF(AND(AB$4&gt;=$E13,AB$4&lt;=$F13),1,"")</x:f>
      </x:c>
      <x:c r="AC13" s="65" t="str">
        <x:f>IF(AND(AC$4&gt;=$E13,AC$4&lt;=$F13),1,"")</x:f>
      </x:c>
      <x:c r="AD13" s="65" t="str">
        <x:f>IF(AND(AD$4&gt;=$E13,AD$4&lt;=$F13),1,"")</x:f>
      </x:c>
      <x:c r="AE13" s="65" t="str">
        <x:f>IF(AND(AE$4&gt;=$E13,AE$4&lt;=$F13),1,"")</x:f>
      </x:c>
      <x:c r="AF13" s="65" t="str">
        <x:f>IF(AND(AF$4&gt;=$E13,AF$4&lt;=$F13),1,"")</x:f>
      </x:c>
      <x:c r="AG13" s="68" t="str">
        <x:f>IF(AND(AG$4&gt;=$E13,AG$4&lt;=$F13),1,"")</x:f>
      </x:c>
      <x:c r="AH13" s="68" t="str">
        <x:f>IF(AND(AH$4&gt;=$E13,AH$4&lt;=$F13),1,"")</x:f>
      </x:c>
    </x:row>
    <x:row r="14" ht="15" hidden="0" customHeight="1">
      <x:c r="A14" s="12" t="str">
        <x:v>T09</x:v>
      </x:c>
      <x:c r="B14" s="12" t="str">
        <x:v>手机支架与视角固定</x:v>
      </x:c>
      <x:c r="C14" s="18" t="str">
        <x:v>成员 C</x:v>
      </x:c>
      <x:c r="D14" s="34" t="str">
        <x:v>结构</x:v>
      </x:c>
      <x:c r="E14" s="13" t="n">
        <x:v>3</x:v>
      </x:c>
      <x:c r="F14" s="13" t="n">
        <x:v>6</x:v>
      </x:c>
      <x:c r="G14" s="65" t="str">
        <x:f>IF(AND(G$4&gt;=$E14,G$4&lt;=$F14),1,"")</x:f>
      </x:c>
      <x:c r="H14" s="65" t="str">
        <x:f>IF(AND(H$4&gt;=$E14,H$4&lt;=$F14),1,"")</x:f>
      </x:c>
      <x:c r="I14" s="65" t="n">
        <x:f>IF(AND(I$4&gt;=$E14,I$4&lt;=$F14),1,"")</x:f>
        <x:v>1</x:v>
      </x:c>
      <x:c r="J14" s="65" t="n">
        <x:f>IF(AND(J$4&gt;=$E14,J$4&lt;=$F14),1,"")</x:f>
        <x:v>1</x:v>
      </x:c>
      <x:c r="K14" s="65" t="n">
        <x:f>IF(AND(K$4&gt;=$E14,K$4&lt;=$F14),1,"")</x:f>
        <x:v>1</x:v>
      </x:c>
      <x:c r="L14" s="68" t="n">
        <x:f>IF(AND(L$4&gt;=$E14,L$4&lt;=$F14),1,"")</x:f>
        <x:v>1</x:v>
      </x:c>
      <x:c r="M14" s="68" t="str">
        <x:f>IF(AND(M$4&gt;=$E14,M$4&lt;=$F14),1,"")</x:f>
      </x:c>
      <x:c r="N14" s="65" t="str">
        <x:f>IF(AND(N$4&gt;=$E14,N$4&lt;=$F14),1,"")</x:f>
      </x:c>
      <x:c r="O14" s="65" t="str">
        <x:f>IF(AND(O$4&gt;=$E14,O$4&lt;=$F14),1,"")</x:f>
      </x:c>
      <x:c r="P14" s="65" t="str">
        <x:f>IF(AND(P$4&gt;=$E14,P$4&lt;=$F14),1,"")</x:f>
      </x:c>
      <x:c r="Q14" s="65" t="str">
        <x:f>IF(AND(Q$4&gt;=$E14,Q$4&lt;=$F14),1,"")</x:f>
      </x:c>
      <x:c r="R14" s="65" t="str">
        <x:f>IF(AND(R$4&gt;=$E14,R$4&lt;=$F14),1,"")</x:f>
      </x:c>
      <x:c r="S14" s="68" t="str">
        <x:f>IF(AND(S$4&gt;=$E14,S$4&lt;=$F14),1,"")</x:f>
      </x:c>
      <x:c r="T14" s="68" t="str">
        <x:f>IF(AND(T$4&gt;=$E14,T$4&lt;=$F14),1,"")</x:f>
      </x:c>
      <x:c r="U14" s="65" t="str">
        <x:f>IF(AND(U$4&gt;=$E14,U$4&lt;=$F14),1,"")</x:f>
      </x:c>
      <x:c r="V14" s="65" t="str">
        <x:f>IF(AND(V$4&gt;=$E14,V$4&lt;=$F14),1,"")</x:f>
      </x:c>
      <x:c r="W14" s="65" t="str">
        <x:f>IF(AND(W$4&gt;=$E14,W$4&lt;=$F14),1,"")</x:f>
      </x:c>
      <x:c r="X14" s="65" t="str">
        <x:f>IF(AND(X$4&gt;=$E14,X$4&lt;=$F14),1,"")</x:f>
      </x:c>
      <x:c r="Y14" s="65" t="str">
        <x:f>IF(AND(Y$4&gt;=$E14,Y$4&lt;=$F14),1,"")</x:f>
      </x:c>
      <x:c r="Z14" s="68" t="str">
        <x:f>IF(AND(Z$4&gt;=$E14,Z$4&lt;=$F14),1,"")</x:f>
      </x:c>
      <x:c r="AA14" s="68" t="str">
        <x:f>IF(AND(AA$4&gt;=$E14,AA$4&lt;=$F14),1,"")</x:f>
      </x:c>
      <x:c r="AB14" s="65" t="str">
        <x:f>IF(AND(AB$4&gt;=$E14,AB$4&lt;=$F14),1,"")</x:f>
      </x:c>
      <x:c r="AC14" s="65" t="str">
        <x:f>IF(AND(AC$4&gt;=$E14,AC$4&lt;=$F14),1,"")</x:f>
      </x:c>
      <x:c r="AD14" s="65" t="str">
        <x:f>IF(AND(AD$4&gt;=$E14,AD$4&lt;=$F14),1,"")</x:f>
      </x:c>
      <x:c r="AE14" s="65" t="str">
        <x:f>IF(AND(AE$4&gt;=$E14,AE$4&lt;=$F14),1,"")</x:f>
      </x:c>
      <x:c r="AF14" s="65" t="str">
        <x:f>IF(AND(AF$4&gt;=$E14,AF$4&lt;=$F14),1,"")</x:f>
      </x:c>
      <x:c r="AG14" s="68" t="str">
        <x:f>IF(AND(AG$4&gt;=$E14,AG$4&lt;=$F14),1,"")</x:f>
      </x:c>
      <x:c r="AH14" s="68" t="str">
        <x:f>IF(AND(AH$4&gt;=$E14,AH$4&lt;=$F14),1,"")</x:f>
      </x:c>
    </x:row>
    <x:row r="15" ht="15" hidden="0" customHeight="1">
      <x:c r="A15" s="12" t="str">
        <x:v>T10</x:v>
      </x:c>
      <x:c r="B15" s="12" t="str">
        <x:v>手动遥控测试与记录</x:v>
      </x:c>
      <x:c r="C15" s="27" t="str">
        <x:v>成员 B / C</x:v>
      </x:c>
      <x:c r="D15" s="37" t="str">
        <x:v>测试</x:v>
      </x:c>
      <x:c r="E15" s="13" t="n">
        <x:v>5</x:v>
      </x:c>
      <x:c r="F15" s="13" t="n">
        <x:v>7</x:v>
      </x:c>
      <x:c r="G15" s="65" t="str">
        <x:f>IF(AND(G$4&gt;=$E15,G$4&lt;=$F15),1,"")</x:f>
      </x:c>
      <x:c r="H15" s="65" t="str">
        <x:f>IF(AND(H$4&gt;=$E15,H$4&lt;=$F15),1,"")</x:f>
      </x:c>
      <x:c r="I15" s="65" t="str">
        <x:f>IF(AND(I$4&gt;=$E15,I$4&lt;=$F15),1,"")</x:f>
      </x:c>
      <x:c r="J15" s="65" t="str">
        <x:f>IF(AND(J$4&gt;=$E15,J$4&lt;=$F15),1,"")</x:f>
      </x:c>
      <x:c r="K15" s="65" t="n">
        <x:f>IF(AND(K$4&gt;=$E15,K$4&lt;=$F15),1,"")</x:f>
        <x:v>1</x:v>
      </x:c>
      <x:c r="L15" s="68" t="n">
        <x:f>IF(AND(L$4&gt;=$E15,L$4&lt;=$F15),1,"")</x:f>
        <x:v>1</x:v>
      </x:c>
      <x:c r="M15" s="68" t="n">
        <x:f>IF(AND(M$4&gt;=$E15,M$4&lt;=$F15),1,"")</x:f>
        <x:v>1</x:v>
      </x:c>
      <x:c r="N15" s="65" t="str">
        <x:f>IF(AND(N$4&gt;=$E15,N$4&lt;=$F15),1,"")</x:f>
      </x:c>
      <x:c r="O15" s="65" t="str">
        <x:f>IF(AND(O$4&gt;=$E15,O$4&lt;=$F15),1,"")</x:f>
      </x:c>
      <x:c r="P15" s="65" t="str">
        <x:f>IF(AND(P$4&gt;=$E15,P$4&lt;=$F15),1,"")</x:f>
      </x:c>
      <x:c r="Q15" s="65" t="str">
        <x:f>IF(AND(Q$4&gt;=$E15,Q$4&lt;=$F15),1,"")</x:f>
      </x:c>
      <x:c r="R15" s="65" t="str">
        <x:f>IF(AND(R$4&gt;=$E15,R$4&lt;=$F15),1,"")</x:f>
      </x:c>
      <x:c r="S15" s="68" t="str">
        <x:f>IF(AND(S$4&gt;=$E15,S$4&lt;=$F15),1,"")</x:f>
      </x:c>
      <x:c r="T15" s="68" t="str">
        <x:f>IF(AND(T$4&gt;=$E15,T$4&lt;=$F15),1,"")</x:f>
      </x:c>
      <x:c r="U15" s="65" t="str">
        <x:f>IF(AND(U$4&gt;=$E15,U$4&lt;=$F15),1,"")</x:f>
      </x:c>
      <x:c r="V15" s="65" t="str">
        <x:f>IF(AND(V$4&gt;=$E15,V$4&lt;=$F15),1,"")</x:f>
      </x:c>
      <x:c r="W15" s="65" t="str">
        <x:f>IF(AND(W$4&gt;=$E15,W$4&lt;=$F15),1,"")</x:f>
      </x:c>
      <x:c r="X15" s="65" t="str">
        <x:f>IF(AND(X$4&gt;=$E15,X$4&lt;=$F15),1,"")</x:f>
      </x:c>
      <x:c r="Y15" s="65" t="str">
        <x:f>IF(AND(Y$4&gt;=$E15,Y$4&lt;=$F15),1,"")</x:f>
      </x:c>
      <x:c r="Z15" s="68" t="str">
        <x:f>IF(AND(Z$4&gt;=$E15,Z$4&lt;=$F15),1,"")</x:f>
      </x:c>
      <x:c r="AA15" s="68" t="str">
        <x:f>IF(AND(AA$4&gt;=$E15,AA$4&lt;=$F15),1,"")</x:f>
      </x:c>
      <x:c r="AB15" s="65" t="str">
        <x:f>IF(AND(AB$4&gt;=$E15,AB$4&lt;=$F15),1,"")</x:f>
      </x:c>
      <x:c r="AC15" s="65" t="str">
        <x:f>IF(AND(AC$4&gt;=$E15,AC$4&lt;=$F15),1,"")</x:f>
      </x:c>
      <x:c r="AD15" s="65" t="str">
        <x:f>IF(AND(AD$4&gt;=$E15,AD$4&lt;=$F15),1,"")</x:f>
      </x:c>
      <x:c r="AE15" s="65" t="str">
        <x:f>IF(AND(AE$4&gt;=$E15,AE$4&lt;=$F15),1,"")</x:f>
      </x:c>
      <x:c r="AF15" s="65" t="str">
        <x:f>IF(AND(AF$4&gt;=$E15,AF$4&lt;=$F15),1,"")</x:f>
      </x:c>
      <x:c r="AG15" s="68" t="str">
        <x:f>IF(AND(AG$4&gt;=$E15,AG$4&lt;=$F15),1,"")</x:f>
      </x:c>
      <x:c r="AH15" s="68" t="str">
        <x:f>IF(AND(AH$4&gt;=$E15,AH$4&lt;=$F15),1,"")</x:f>
      </x:c>
    </x:row>
    <x:row r="16" ht="15" hidden="0" customHeight="1">
      <x:c r="A16" s="12" t="str">
        <x:v>T11</x:v>
      </x:c>
      <x:c r="B16" s="12" t="str">
        <x:v>人物检测与目标初始化</x:v>
      </x:c>
      <x:c r="C16" s="19" t="str">
        <x:v>成员 A</x:v>
      </x:c>
      <x:c r="D16" s="22" t="str">
        <x:v>上位机</x:v>
      </x:c>
      <x:c r="E16" s="13" t="n">
        <x:v>8</x:v>
      </x:c>
      <x:c r="F16" s="13" t="n">
        <x:v>11</x:v>
      </x:c>
      <x:c r="G16" s="65" t="str">
        <x:f>IF(AND(G$4&gt;=$E16,G$4&lt;=$F16),1,"")</x:f>
      </x:c>
      <x:c r="H16" s="65" t="str">
        <x:f>IF(AND(H$4&gt;=$E16,H$4&lt;=$F16),1,"")</x:f>
      </x:c>
      <x:c r="I16" s="65" t="str">
        <x:f>IF(AND(I$4&gt;=$E16,I$4&lt;=$F16),1,"")</x:f>
      </x:c>
      <x:c r="J16" s="65" t="str">
        <x:f>IF(AND(J$4&gt;=$E16,J$4&lt;=$F16),1,"")</x:f>
      </x:c>
      <x:c r="K16" s="65" t="str">
        <x:f>IF(AND(K$4&gt;=$E16,K$4&lt;=$F16),1,"")</x:f>
      </x:c>
      <x:c r="L16" s="68" t="str">
        <x:f>IF(AND(L$4&gt;=$E16,L$4&lt;=$F16),1,"")</x:f>
      </x:c>
      <x:c r="M16" s="68" t="str">
        <x:f>IF(AND(M$4&gt;=$E16,M$4&lt;=$F16),1,"")</x:f>
      </x:c>
      <x:c r="N16" s="65" t="n">
        <x:f>IF(AND(N$4&gt;=$E16,N$4&lt;=$F16),1,"")</x:f>
        <x:v>1</x:v>
      </x:c>
      <x:c r="O16" s="65" t="n">
        <x:f>IF(AND(O$4&gt;=$E16,O$4&lt;=$F16),1,"")</x:f>
        <x:v>1</x:v>
      </x:c>
      <x:c r="P16" s="65" t="n">
        <x:f>IF(AND(P$4&gt;=$E16,P$4&lt;=$F16),1,"")</x:f>
        <x:v>1</x:v>
      </x:c>
      <x:c r="Q16" s="65" t="n">
        <x:f>IF(AND(Q$4&gt;=$E16,Q$4&lt;=$F16),1,"")</x:f>
        <x:v>1</x:v>
      </x:c>
      <x:c r="R16" s="65" t="str">
        <x:f>IF(AND(R$4&gt;=$E16,R$4&lt;=$F16),1,"")</x:f>
      </x:c>
      <x:c r="S16" s="68" t="str">
        <x:f>IF(AND(S$4&gt;=$E16,S$4&lt;=$F16),1,"")</x:f>
      </x:c>
      <x:c r="T16" s="68" t="str">
        <x:f>IF(AND(T$4&gt;=$E16,T$4&lt;=$F16),1,"")</x:f>
      </x:c>
      <x:c r="U16" s="65" t="str">
        <x:f>IF(AND(U$4&gt;=$E16,U$4&lt;=$F16),1,"")</x:f>
      </x:c>
      <x:c r="V16" s="65" t="str">
        <x:f>IF(AND(V$4&gt;=$E16,V$4&lt;=$F16),1,"")</x:f>
      </x:c>
      <x:c r="W16" s="65" t="str">
        <x:f>IF(AND(W$4&gt;=$E16,W$4&lt;=$F16),1,"")</x:f>
      </x:c>
      <x:c r="X16" s="65" t="str">
        <x:f>IF(AND(X$4&gt;=$E16,X$4&lt;=$F16),1,"")</x:f>
      </x:c>
      <x:c r="Y16" s="65" t="str">
        <x:f>IF(AND(Y$4&gt;=$E16,Y$4&lt;=$F16),1,"")</x:f>
      </x:c>
      <x:c r="Z16" s="68" t="str">
        <x:f>IF(AND(Z$4&gt;=$E16,Z$4&lt;=$F16),1,"")</x:f>
      </x:c>
      <x:c r="AA16" s="68" t="str">
        <x:f>IF(AND(AA$4&gt;=$E16,AA$4&lt;=$F16),1,"")</x:f>
      </x:c>
      <x:c r="AB16" s="65" t="str">
        <x:f>IF(AND(AB$4&gt;=$E16,AB$4&lt;=$F16),1,"")</x:f>
      </x:c>
      <x:c r="AC16" s="65" t="str">
        <x:f>IF(AND(AC$4&gt;=$E16,AC$4&lt;=$F16),1,"")</x:f>
      </x:c>
      <x:c r="AD16" s="65" t="str">
        <x:f>IF(AND(AD$4&gt;=$E16,AD$4&lt;=$F16),1,"")</x:f>
      </x:c>
      <x:c r="AE16" s="65" t="str">
        <x:f>IF(AND(AE$4&gt;=$E16,AE$4&lt;=$F16),1,"")</x:f>
      </x:c>
      <x:c r="AF16" s="65" t="str">
        <x:f>IF(AND(AF$4&gt;=$E16,AF$4&lt;=$F16),1,"")</x:f>
      </x:c>
      <x:c r="AG16" s="68" t="str">
        <x:f>IF(AND(AG$4&gt;=$E16,AG$4&lt;=$F16),1,"")</x:f>
      </x:c>
      <x:c r="AH16" s="68" t="str">
        <x:f>IF(AND(AH$4&gt;=$E16,AH$4&lt;=$F16),1,"")</x:f>
      </x:c>
    </x:row>
    <x:row r="17" ht="15" hidden="0" customHeight="1">
      <x:c r="A17" s="12" t="str">
        <x:v>T12</x:v>
      </x:c>
      <x:c r="B17" s="12" t="str">
        <x:v>单人直线跟随初版</x:v>
      </x:c>
      <x:c r="C17" s="19" t="str">
        <x:v>成员 A</x:v>
      </x:c>
      <x:c r="D17" s="22" t="str">
        <x:v>上位机</x:v>
      </x:c>
      <x:c r="E17" s="13" t="n">
        <x:v>9</x:v>
      </x:c>
      <x:c r="F17" s="13" t="n">
        <x:v>13</x:v>
      </x:c>
      <x:c r="G17" s="65" t="str">
        <x:f>IF(AND(G$4&gt;=$E17,G$4&lt;=$F17),1,"")</x:f>
      </x:c>
      <x:c r="H17" s="65" t="str">
        <x:f>IF(AND(H$4&gt;=$E17,H$4&lt;=$F17),1,"")</x:f>
      </x:c>
      <x:c r="I17" s="65" t="str">
        <x:f>IF(AND(I$4&gt;=$E17,I$4&lt;=$F17),1,"")</x:f>
      </x:c>
      <x:c r="J17" s="65" t="str">
        <x:f>IF(AND(J$4&gt;=$E17,J$4&lt;=$F17),1,"")</x:f>
      </x:c>
      <x:c r="K17" s="65" t="str">
        <x:f>IF(AND(K$4&gt;=$E17,K$4&lt;=$F17),1,"")</x:f>
      </x:c>
      <x:c r="L17" s="68" t="str">
        <x:f>IF(AND(L$4&gt;=$E17,L$4&lt;=$F17),1,"")</x:f>
      </x:c>
      <x:c r="M17" s="68" t="str">
        <x:f>IF(AND(M$4&gt;=$E17,M$4&lt;=$F17),1,"")</x:f>
      </x:c>
      <x:c r="N17" s="65" t="str">
        <x:f>IF(AND(N$4&gt;=$E17,N$4&lt;=$F17),1,"")</x:f>
      </x:c>
      <x:c r="O17" s="65" t="n">
        <x:f>IF(AND(O$4&gt;=$E17,O$4&lt;=$F17),1,"")</x:f>
        <x:v>1</x:v>
      </x:c>
      <x:c r="P17" s="65" t="n">
        <x:f>IF(AND(P$4&gt;=$E17,P$4&lt;=$F17),1,"")</x:f>
        <x:v>1</x:v>
      </x:c>
      <x:c r="Q17" s="65" t="n">
        <x:f>IF(AND(Q$4&gt;=$E17,Q$4&lt;=$F17),1,"")</x:f>
        <x:v>1</x:v>
      </x:c>
      <x:c r="R17" s="65" t="n">
        <x:f>IF(AND(R$4&gt;=$E17,R$4&lt;=$F17),1,"")</x:f>
        <x:v>1</x:v>
      </x:c>
      <x:c r="S17" s="68" t="n">
        <x:f>IF(AND(S$4&gt;=$E17,S$4&lt;=$F17),1,"")</x:f>
        <x:v>1</x:v>
      </x:c>
      <x:c r="T17" s="68" t="str">
        <x:f>IF(AND(T$4&gt;=$E17,T$4&lt;=$F17),1,"")</x:f>
      </x:c>
      <x:c r="U17" s="65" t="str">
        <x:f>IF(AND(U$4&gt;=$E17,U$4&lt;=$F17),1,"")</x:f>
      </x:c>
      <x:c r="V17" s="65" t="str">
        <x:f>IF(AND(V$4&gt;=$E17,V$4&lt;=$F17),1,"")</x:f>
      </x:c>
      <x:c r="W17" s="65" t="str">
        <x:f>IF(AND(W$4&gt;=$E17,W$4&lt;=$F17),1,"")</x:f>
      </x:c>
      <x:c r="X17" s="65" t="str">
        <x:f>IF(AND(X$4&gt;=$E17,X$4&lt;=$F17),1,"")</x:f>
      </x:c>
      <x:c r="Y17" s="65" t="str">
        <x:f>IF(AND(Y$4&gt;=$E17,Y$4&lt;=$F17),1,"")</x:f>
      </x:c>
      <x:c r="Z17" s="68" t="str">
        <x:f>IF(AND(Z$4&gt;=$E17,Z$4&lt;=$F17),1,"")</x:f>
      </x:c>
      <x:c r="AA17" s="68" t="str">
        <x:f>IF(AND(AA$4&gt;=$E17,AA$4&lt;=$F17),1,"")</x:f>
      </x:c>
      <x:c r="AB17" s="65" t="str">
        <x:f>IF(AND(AB$4&gt;=$E17,AB$4&lt;=$F17),1,"")</x:f>
      </x:c>
      <x:c r="AC17" s="65" t="str">
        <x:f>IF(AND(AC$4&gt;=$E17,AC$4&lt;=$F17),1,"")</x:f>
      </x:c>
      <x:c r="AD17" s="65" t="str">
        <x:f>IF(AND(AD$4&gt;=$E17,AD$4&lt;=$F17),1,"")</x:f>
      </x:c>
      <x:c r="AE17" s="65" t="str">
        <x:f>IF(AND(AE$4&gt;=$E17,AE$4&lt;=$F17),1,"")</x:f>
      </x:c>
      <x:c r="AF17" s="65" t="str">
        <x:f>IF(AND(AF$4&gt;=$E17,AF$4&lt;=$F17),1,"")</x:f>
      </x:c>
      <x:c r="AG17" s="68" t="str">
        <x:f>IF(AND(AG$4&gt;=$E17,AG$4&lt;=$F17),1,"")</x:f>
      </x:c>
      <x:c r="AH17" s="68" t="str">
        <x:f>IF(AND(AH$4&gt;=$E17,AH$4&lt;=$F17),1,"")</x:f>
      </x:c>
    </x:row>
    <x:row r="18" ht="15" hidden="0" customHeight="1">
      <x:c r="A18" s="12" t="str">
        <x:v>T13</x:v>
      </x:c>
      <x:c r="B18" s="12" t="str">
        <x:v>购物筐与载物平台结构改造</x:v>
      </x:c>
      <x:c r="C18" s="18" t="str">
        <x:v>成员 C</x:v>
      </x:c>
      <x:c r="D18" s="34" t="str">
        <x:v>结构</x:v>
      </x:c>
      <x:c r="E18" s="13" t="n">
        <x:v>8</x:v>
      </x:c>
      <x:c r="F18" s="13" t="n">
        <x:v>14</x:v>
      </x:c>
      <x:c r="G18" s="65" t="str">
        <x:f>IF(AND(G$4&gt;=$E18,G$4&lt;=$F18),1,"")</x:f>
      </x:c>
      <x:c r="H18" s="65" t="str">
        <x:f>IF(AND(H$4&gt;=$E18,H$4&lt;=$F18),1,"")</x:f>
      </x:c>
      <x:c r="I18" s="65" t="str">
        <x:f>IF(AND(I$4&gt;=$E18,I$4&lt;=$F18),1,"")</x:f>
      </x:c>
      <x:c r="J18" s="65" t="str">
        <x:f>IF(AND(J$4&gt;=$E18,J$4&lt;=$F18),1,"")</x:f>
      </x:c>
      <x:c r="K18" s="65" t="str">
        <x:f>IF(AND(K$4&gt;=$E18,K$4&lt;=$F18),1,"")</x:f>
      </x:c>
      <x:c r="L18" s="68" t="str">
        <x:f>IF(AND(L$4&gt;=$E18,L$4&lt;=$F18),1,"")</x:f>
      </x:c>
      <x:c r="M18" s="68" t="str">
        <x:f>IF(AND(M$4&gt;=$E18,M$4&lt;=$F18),1,"")</x:f>
      </x:c>
      <x:c r="N18" s="65" t="n">
        <x:f>IF(AND(N$4&gt;=$E18,N$4&lt;=$F18),1,"")</x:f>
        <x:v>1</x:v>
      </x:c>
      <x:c r="O18" s="65" t="n">
        <x:f>IF(AND(O$4&gt;=$E18,O$4&lt;=$F18),1,"")</x:f>
        <x:v>1</x:v>
      </x:c>
      <x:c r="P18" s="65" t="n">
        <x:f>IF(AND(P$4&gt;=$E18,P$4&lt;=$F18),1,"")</x:f>
        <x:v>1</x:v>
      </x:c>
      <x:c r="Q18" s="65" t="n">
        <x:f>IF(AND(Q$4&gt;=$E18,Q$4&lt;=$F18),1,"")</x:f>
        <x:v>1</x:v>
      </x:c>
      <x:c r="R18" s="65" t="n">
        <x:f>IF(AND(R$4&gt;=$E18,R$4&lt;=$F18),1,"")</x:f>
        <x:v>1</x:v>
      </x:c>
      <x:c r="S18" s="68" t="n">
        <x:f>IF(AND(S$4&gt;=$E18,S$4&lt;=$F18),1,"")</x:f>
        <x:v>1</x:v>
      </x:c>
      <x:c r="T18" s="68" t="n">
        <x:f>IF(AND(T$4&gt;=$E18,T$4&lt;=$F18),1,"")</x:f>
        <x:v>1</x:v>
      </x:c>
      <x:c r="U18" s="65" t="str">
        <x:f>IF(AND(U$4&gt;=$E18,U$4&lt;=$F18),1,"")</x:f>
      </x:c>
      <x:c r="V18" s="65" t="str">
        <x:f>IF(AND(V$4&gt;=$E18,V$4&lt;=$F18),1,"")</x:f>
      </x:c>
      <x:c r="W18" s="65" t="str">
        <x:f>IF(AND(W$4&gt;=$E18,W$4&lt;=$F18),1,"")</x:f>
      </x:c>
      <x:c r="X18" s="65" t="str">
        <x:f>IF(AND(X$4&gt;=$E18,X$4&lt;=$F18),1,"")</x:f>
      </x:c>
      <x:c r="Y18" s="65" t="str">
        <x:f>IF(AND(Y$4&gt;=$E18,Y$4&lt;=$F18),1,"")</x:f>
      </x:c>
      <x:c r="Z18" s="68" t="str">
        <x:f>IF(AND(Z$4&gt;=$E18,Z$4&lt;=$F18),1,"")</x:f>
      </x:c>
      <x:c r="AA18" s="68" t="str">
        <x:f>IF(AND(AA$4&gt;=$E18,AA$4&lt;=$F18),1,"")</x:f>
      </x:c>
      <x:c r="AB18" s="65" t="str">
        <x:f>IF(AND(AB$4&gt;=$E18,AB$4&lt;=$F18),1,"")</x:f>
      </x:c>
      <x:c r="AC18" s="65" t="str">
        <x:f>IF(AND(AC$4&gt;=$E18,AC$4&lt;=$F18),1,"")</x:f>
      </x:c>
      <x:c r="AD18" s="65" t="str">
        <x:f>IF(AND(AD$4&gt;=$E18,AD$4&lt;=$F18),1,"")</x:f>
      </x:c>
      <x:c r="AE18" s="65" t="str">
        <x:f>IF(AND(AE$4&gt;=$E18,AE$4&lt;=$F18),1,"")</x:f>
      </x:c>
      <x:c r="AF18" s="65" t="str">
        <x:f>IF(AND(AF$4&gt;=$E18,AF$4&lt;=$F18),1,"")</x:f>
      </x:c>
      <x:c r="AG18" s="68" t="str">
        <x:f>IF(AND(AG$4&gt;=$E18,AG$4&lt;=$F18),1,"")</x:f>
      </x:c>
      <x:c r="AH18" s="68" t="str">
        <x:f>IF(AND(AH$4&gt;=$E18,AH$4&lt;=$F18),1,"")</x:f>
      </x:c>
    </x:row>
    <x:row r="19" ht="15" hidden="0" customHeight="1">
      <x:c r="A19" s="12" t="str">
        <x:v>T14</x:v>
      </x:c>
      <x:c r="B19" s="12" t="str">
        <x:v>供电、驱动与负载稳定性调试</x:v>
      </x:c>
      <x:c r="C19" s="23" t="str">
        <x:v>成员 B</x:v>
      </x:c>
      <x:c r="D19" s="26" t="str">
        <x:v>下位机</x:v>
      </x:c>
      <x:c r="E19" s="13" t="n">
        <x:v>8</x:v>
      </x:c>
      <x:c r="F19" s="13" t="n">
        <x:v>12</x:v>
      </x:c>
      <x:c r="G19" s="65" t="str">
        <x:f>IF(AND(G$4&gt;=$E19,G$4&lt;=$F19),1,"")</x:f>
      </x:c>
      <x:c r="H19" s="65" t="str">
        <x:f>IF(AND(H$4&gt;=$E19,H$4&lt;=$F19),1,"")</x:f>
      </x:c>
      <x:c r="I19" s="65" t="str">
        <x:f>IF(AND(I$4&gt;=$E19,I$4&lt;=$F19),1,"")</x:f>
      </x:c>
      <x:c r="J19" s="65" t="str">
        <x:f>IF(AND(J$4&gt;=$E19,J$4&lt;=$F19),1,"")</x:f>
      </x:c>
      <x:c r="K19" s="65" t="str">
        <x:f>IF(AND(K$4&gt;=$E19,K$4&lt;=$F19),1,"")</x:f>
      </x:c>
      <x:c r="L19" s="68" t="str">
        <x:f>IF(AND(L$4&gt;=$E19,L$4&lt;=$F19),1,"")</x:f>
      </x:c>
      <x:c r="M19" s="68" t="str">
        <x:f>IF(AND(M$4&gt;=$E19,M$4&lt;=$F19),1,"")</x:f>
      </x:c>
      <x:c r="N19" s="65" t="n">
        <x:f>IF(AND(N$4&gt;=$E19,N$4&lt;=$F19),1,"")</x:f>
        <x:v>1</x:v>
      </x:c>
      <x:c r="O19" s="65" t="n">
        <x:f>IF(AND(O$4&gt;=$E19,O$4&lt;=$F19),1,"")</x:f>
        <x:v>1</x:v>
      </x:c>
      <x:c r="P19" s="65" t="n">
        <x:f>IF(AND(P$4&gt;=$E19,P$4&lt;=$F19),1,"")</x:f>
        <x:v>1</x:v>
      </x:c>
      <x:c r="Q19" s="65" t="n">
        <x:f>IF(AND(Q$4&gt;=$E19,Q$4&lt;=$F19),1,"")</x:f>
        <x:v>1</x:v>
      </x:c>
      <x:c r="R19" s="65" t="n">
        <x:f>IF(AND(R$4&gt;=$E19,R$4&lt;=$F19),1,"")</x:f>
        <x:v>1</x:v>
      </x:c>
      <x:c r="S19" s="68" t="str">
        <x:f>IF(AND(S$4&gt;=$E19,S$4&lt;=$F19),1,"")</x:f>
      </x:c>
      <x:c r="T19" s="68" t="str">
        <x:f>IF(AND(T$4&gt;=$E19,T$4&lt;=$F19),1,"")</x:f>
      </x:c>
      <x:c r="U19" s="65" t="str">
        <x:f>IF(AND(U$4&gt;=$E19,U$4&lt;=$F19),1,"")</x:f>
      </x:c>
      <x:c r="V19" s="65" t="str">
        <x:f>IF(AND(V$4&gt;=$E19,V$4&lt;=$F19),1,"")</x:f>
      </x:c>
      <x:c r="W19" s="65" t="str">
        <x:f>IF(AND(W$4&gt;=$E19,W$4&lt;=$F19),1,"")</x:f>
      </x:c>
      <x:c r="X19" s="65" t="str">
        <x:f>IF(AND(X$4&gt;=$E19,X$4&lt;=$F19),1,"")</x:f>
      </x:c>
      <x:c r="Y19" s="65" t="str">
        <x:f>IF(AND(Y$4&gt;=$E19,Y$4&lt;=$F19),1,"")</x:f>
      </x:c>
      <x:c r="Z19" s="68" t="str">
        <x:f>IF(AND(Z$4&gt;=$E19,Z$4&lt;=$F19),1,"")</x:f>
      </x:c>
      <x:c r="AA19" s="68" t="str">
        <x:f>IF(AND(AA$4&gt;=$E19,AA$4&lt;=$F19),1,"")</x:f>
      </x:c>
      <x:c r="AB19" s="65" t="str">
        <x:f>IF(AND(AB$4&gt;=$E19,AB$4&lt;=$F19),1,"")</x:f>
      </x:c>
      <x:c r="AC19" s="65" t="str">
        <x:f>IF(AND(AC$4&gt;=$E19,AC$4&lt;=$F19),1,"")</x:f>
      </x:c>
      <x:c r="AD19" s="65" t="str">
        <x:f>IF(AND(AD$4&gt;=$E19,AD$4&lt;=$F19),1,"")</x:f>
      </x:c>
      <x:c r="AE19" s="65" t="str">
        <x:f>IF(AND(AE$4&gt;=$E19,AE$4&lt;=$F19),1,"")</x:f>
      </x:c>
      <x:c r="AF19" s="65" t="str">
        <x:f>IF(AND(AF$4&gt;=$E19,AF$4&lt;=$F19),1,"")</x:f>
      </x:c>
      <x:c r="AG19" s="68" t="str">
        <x:f>IF(AND(AG$4&gt;=$E19,AG$4&lt;=$F19),1,"")</x:f>
      </x:c>
      <x:c r="AH19" s="68" t="str">
        <x:f>IF(AND(AH$4&gt;=$E19,AH$4&lt;=$F19),1,"")</x:f>
      </x:c>
    </x:row>
    <x:row r="20" ht="15" hidden="0" customHeight="1">
      <x:c r="A20" s="12" t="str">
        <x:v>T15</x:v>
      </x:c>
      <x:c r="B20" s="12" t="str">
        <x:v>跟随参数调节一轮</x:v>
      </x:c>
      <x:c r="C20" s="14" t="str">
        <x:v>成员 A / C</x:v>
      </x:c>
      <x:c r="D20" s="37" t="str">
        <x:v>测试</x:v>
      </x:c>
      <x:c r="E20" s="13" t="n">
        <x:v>11</x:v>
      </x:c>
      <x:c r="F20" s="13" t="n">
        <x:v>16</x:v>
      </x:c>
      <x:c r="G20" s="65" t="str">
        <x:f>IF(AND(G$4&gt;=$E20,G$4&lt;=$F20),1,"")</x:f>
      </x:c>
      <x:c r="H20" s="65" t="str">
        <x:f>IF(AND(H$4&gt;=$E20,H$4&lt;=$F20),1,"")</x:f>
      </x:c>
      <x:c r="I20" s="65" t="str">
        <x:f>IF(AND(I$4&gt;=$E20,I$4&lt;=$F20),1,"")</x:f>
      </x:c>
      <x:c r="J20" s="65" t="str">
        <x:f>IF(AND(J$4&gt;=$E20,J$4&lt;=$F20),1,"")</x:f>
      </x:c>
      <x:c r="K20" s="65" t="str">
        <x:f>IF(AND(K$4&gt;=$E20,K$4&lt;=$F20),1,"")</x:f>
      </x:c>
      <x:c r="L20" s="68" t="str">
        <x:f>IF(AND(L$4&gt;=$E20,L$4&lt;=$F20),1,"")</x:f>
      </x:c>
      <x:c r="M20" s="68" t="str">
        <x:f>IF(AND(M$4&gt;=$E20,M$4&lt;=$F20),1,"")</x:f>
      </x:c>
      <x:c r="N20" s="65" t="str">
        <x:f>IF(AND(N$4&gt;=$E20,N$4&lt;=$F20),1,"")</x:f>
      </x:c>
      <x:c r="O20" s="65" t="str">
        <x:f>IF(AND(O$4&gt;=$E20,O$4&lt;=$F20),1,"")</x:f>
      </x:c>
      <x:c r="P20" s="65" t="str">
        <x:f>IF(AND(P$4&gt;=$E20,P$4&lt;=$F20),1,"")</x:f>
      </x:c>
      <x:c r="Q20" s="65" t="n">
        <x:f>IF(AND(Q$4&gt;=$E20,Q$4&lt;=$F20),1,"")</x:f>
        <x:v>1</x:v>
      </x:c>
      <x:c r="R20" s="65" t="n">
        <x:f>IF(AND(R$4&gt;=$E20,R$4&lt;=$F20),1,"")</x:f>
        <x:v>1</x:v>
      </x:c>
      <x:c r="S20" s="68" t="n">
        <x:f>IF(AND(S$4&gt;=$E20,S$4&lt;=$F20),1,"")</x:f>
        <x:v>1</x:v>
      </x:c>
      <x:c r="T20" s="68" t="n">
        <x:f>IF(AND(T$4&gt;=$E20,T$4&lt;=$F20),1,"")</x:f>
        <x:v>1</x:v>
      </x:c>
      <x:c r="U20" s="65" t="n">
        <x:f>IF(AND(U$4&gt;=$E20,U$4&lt;=$F20),1,"")</x:f>
        <x:v>1</x:v>
      </x:c>
      <x:c r="V20" s="65" t="n">
        <x:f>IF(AND(V$4&gt;=$E20,V$4&lt;=$F20),1,"")</x:f>
        <x:v>1</x:v>
      </x:c>
      <x:c r="W20" s="65" t="str">
        <x:f>IF(AND(W$4&gt;=$E20,W$4&lt;=$F20),1,"")</x:f>
      </x:c>
      <x:c r="X20" s="65" t="str">
        <x:f>IF(AND(X$4&gt;=$E20,X$4&lt;=$F20),1,"")</x:f>
      </x:c>
      <x:c r="Y20" s="65" t="str">
        <x:f>IF(AND(Y$4&gt;=$E20,Y$4&lt;=$F20),1,"")</x:f>
      </x:c>
      <x:c r="Z20" s="68" t="str">
        <x:f>IF(AND(Z$4&gt;=$E20,Z$4&lt;=$F20),1,"")</x:f>
      </x:c>
      <x:c r="AA20" s="68" t="str">
        <x:f>IF(AND(AA$4&gt;=$E20,AA$4&lt;=$F20),1,"")</x:f>
      </x:c>
      <x:c r="AB20" s="65" t="str">
        <x:f>IF(AND(AB$4&gt;=$E20,AB$4&lt;=$F20),1,"")</x:f>
      </x:c>
      <x:c r="AC20" s="65" t="str">
        <x:f>IF(AND(AC$4&gt;=$E20,AC$4&lt;=$F20),1,"")</x:f>
      </x:c>
      <x:c r="AD20" s="65" t="str">
        <x:f>IF(AND(AD$4&gt;=$E20,AD$4&lt;=$F20),1,"")</x:f>
      </x:c>
      <x:c r="AE20" s="65" t="str">
        <x:f>IF(AND(AE$4&gt;=$E20,AE$4&lt;=$F20),1,"")</x:f>
      </x:c>
      <x:c r="AF20" s="65" t="str">
        <x:f>IF(AND(AF$4&gt;=$E20,AF$4&lt;=$F20),1,"")</x:f>
      </x:c>
      <x:c r="AG20" s="68" t="str">
        <x:f>IF(AND(AG$4&gt;=$E20,AG$4&lt;=$F20),1,"")</x:f>
      </x:c>
      <x:c r="AH20" s="68" t="str">
        <x:f>IF(AND(AH$4&gt;=$E20,AH$4&lt;=$F20),1,"")</x:f>
      </x:c>
    </x:row>
    <x:row r="21" ht="15" hidden="0" customHeight="1">
      <x:c r="A21" s="12" t="str">
        <x:v>T16</x:v>
      </x:c>
      <x:c r="B21" s="12" t="str">
        <x:v>急停按钮与停车执行链路</x:v>
      </x:c>
      <x:c r="C21" s="27" t="str">
        <x:v>成员 B / C</x:v>
      </x:c>
      <x:c r="D21" s="40" t="str">
        <x:v>安全</x:v>
      </x:c>
      <x:c r="E21" s="13" t="n">
        <x:v>10</x:v>
      </x:c>
      <x:c r="F21" s="13" t="n">
        <x:v>15</x:v>
      </x:c>
      <x:c r="G21" s="65" t="str">
        <x:f>IF(AND(G$4&gt;=$E21,G$4&lt;=$F21),1,"")</x:f>
      </x:c>
      <x:c r="H21" s="65" t="str">
        <x:f>IF(AND(H$4&gt;=$E21,H$4&lt;=$F21),1,"")</x:f>
      </x:c>
      <x:c r="I21" s="65" t="str">
        <x:f>IF(AND(I$4&gt;=$E21,I$4&lt;=$F21),1,"")</x:f>
      </x:c>
      <x:c r="J21" s="65" t="str">
        <x:f>IF(AND(J$4&gt;=$E21,J$4&lt;=$F21),1,"")</x:f>
      </x:c>
      <x:c r="K21" s="65" t="str">
        <x:f>IF(AND(K$4&gt;=$E21,K$4&lt;=$F21),1,"")</x:f>
      </x:c>
      <x:c r="L21" s="68" t="str">
        <x:f>IF(AND(L$4&gt;=$E21,L$4&lt;=$F21),1,"")</x:f>
      </x:c>
      <x:c r="M21" s="68" t="str">
        <x:f>IF(AND(M$4&gt;=$E21,M$4&lt;=$F21),1,"")</x:f>
      </x:c>
      <x:c r="N21" s="65" t="str">
        <x:f>IF(AND(N$4&gt;=$E21,N$4&lt;=$F21),1,"")</x:f>
      </x:c>
      <x:c r="O21" s="65" t="str">
        <x:f>IF(AND(O$4&gt;=$E21,O$4&lt;=$F21),1,"")</x:f>
      </x:c>
      <x:c r="P21" s="65" t="n">
        <x:f>IF(AND(P$4&gt;=$E21,P$4&lt;=$F21),1,"")</x:f>
        <x:v>1</x:v>
      </x:c>
      <x:c r="Q21" s="65" t="n">
        <x:f>IF(AND(Q$4&gt;=$E21,Q$4&lt;=$F21),1,"")</x:f>
        <x:v>1</x:v>
      </x:c>
      <x:c r="R21" s="65" t="n">
        <x:f>IF(AND(R$4&gt;=$E21,R$4&lt;=$F21),1,"")</x:f>
        <x:v>1</x:v>
      </x:c>
      <x:c r="S21" s="68" t="n">
        <x:f>IF(AND(S$4&gt;=$E21,S$4&lt;=$F21),1,"")</x:f>
        <x:v>1</x:v>
      </x:c>
      <x:c r="T21" s="68" t="n">
        <x:f>IF(AND(T$4&gt;=$E21,T$4&lt;=$F21),1,"")</x:f>
        <x:v>1</x:v>
      </x:c>
      <x:c r="U21" s="65" t="n">
        <x:f>IF(AND(U$4&gt;=$E21,U$4&lt;=$F21),1,"")</x:f>
        <x:v>1</x:v>
      </x:c>
      <x:c r="V21" s="65" t="str">
        <x:f>IF(AND(V$4&gt;=$E21,V$4&lt;=$F21),1,"")</x:f>
      </x:c>
      <x:c r="W21" s="65" t="str">
        <x:f>IF(AND(W$4&gt;=$E21,W$4&lt;=$F21),1,"")</x:f>
      </x:c>
      <x:c r="X21" s="65" t="str">
        <x:f>IF(AND(X$4&gt;=$E21,X$4&lt;=$F21),1,"")</x:f>
      </x:c>
      <x:c r="Y21" s="65" t="str">
        <x:f>IF(AND(Y$4&gt;=$E21,Y$4&lt;=$F21),1,"")</x:f>
      </x:c>
      <x:c r="Z21" s="68" t="str">
        <x:f>IF(AND(Z$4&gt;=$E21,Z$4&lt;=$F21),1,"")</x:f>
      </x:c>
      <x:c r="AA21" s="68" t="str">
        <x:f>IF(AND(AA$4&gt;=$E21,AA$4&lt;=$F21),1,"")</x:f>
      </x:c>
      <x:c r="AB21" s="65" t="str">
        <x:f>IF(AND(AB$4&gt;=$E21,AB$4&lt;=$F21),1,"")</x:f>
      </x:c>
      <x:c r="AC21" s="65" t="str">
        <x:f>IF(AND(AC$4&gt;=$E21,AC$4&lt;=$F21),1,"")</x:f>
      </x:c>
      <x:c r="AD21" s="65" t="str">
        <x:f>IF(AND(AD$4&gt;=$E21,AD$4&lt;=$F21),1,"")</x:f>
      </x:c>
      <x:c r="AE21" s="65" t="str">
        <x:f>IF(AND(AE$4&gt;=$E21,AE$4&lt;=$F21),1,"")</x:f>
      </x:c>
      <x:c r="AF21" s="65" t="str">
        <x:f>IF(AND(AF$4&gt;=$E21,AF$4&lt;=$F21),1,"")</x:f>
      </x:c>
      <x:c r="AG21" s="68" t="str">
        <x:f>IF(AND(AG$4&gt;=$E21,AG$4&lt;=$F21),1,"")</x:f>
      </x:c>
      <x:c r="AH21" s="68" t="str">
        <x:f>IF(AND(AH$4&gt;=$E21,AH$4&lt;=$F21),1,"")</x:f>
      </x:c>
    </x:row>
    <x:row r="22" ht="15" hidden="0" customHeight="1">
      <x:c r="A22" s="12" t="str">
        <x:v>T17</x:v>
      </x:c>
      <x:c r="B22" s="12" t="str">
        <x:v>通信超时停车保护</x:v>
      </x:c>
      <x:c r="C22" s="23" t="str">
        <x:v>成员 B</x:v>
      </x:c>
      <x:c r="D22" s="40" t="str">
        <x:v>安全</x:v>
      </x:c>
      <x:c r="E22" s="13" t="n">
        <x:v>11</x:v>
      </x:c>
      <x:c r="F22" s="13" t="n">
        <x:v>15</x:v>
      </x:c>
      <x:c r="G22" s="65" t="str">
        <x:f>IF(AND(G$4&gt;=$E22,G$4&lt;=$F22),1,"")</x:f>
      </x:c>
      <x:c r="H22" s="65" t="str">
        <x:f>IF(AND(H$4&gt;=$E22,H$4&lt;=$F22),1,"")</x:f>
      </x:c>
      <x:c r="I22" s="65" t="str">
        <x:f>IF(AND(I$4&gt;=$E22,I$4&lt;=$F22),1,"")</x:f>
      </x:c>
      <x:c r="J22" s="65" t="str">
        <x:f>IF(AND(J$4&gt;=$E22,J$4&lt;=$F22),1,"")</x:f>
      </x:c>
      <x:c r="K22" s="65" t="str">
        <x:f>IF(AND(K$4&gt;=$E22,K$4&lt;=$F22),1,"")</x:f>
      </x:c>
      <x:c r="L22" s="68" t="str">
        <x:f>IF(AND(L$4&gt;=$E22,L$4&lt;=$F22),1,"")</x:f>
      </x:c>
      <x:c r="M22" s="68" t="str">
        <x:f>IF(AND(M$4&gt;=$E22,M$4&lt;=$F22),1,"")</x:f>
      </x:c>
      <x:c r="N22" s="65" t="str">
        <x:f>IF(AND(N$4&gt;=$E22,N$4&lt;=$F22),1,"")</x:f>
      </x:c>
      <x:c r="O22" s="65" t="str">
        <x:f>IF(AND(O$4&gt;=$E22,O$4&lt;=$F22),1,"")</x:f>
      </x:c>
      <x:c r="P22" s="65" t="str">
        <x:f>IF(AND(P$4&gt;=$E22,P$4&lt;=$F22),1,"")</x:f>
      </x:c>
      <x:c r="Q22" s="65" t="n">
        <x:f>IF(AND(Q$4&gt;=$E22,Q$4&lt;=$F22),1,"")</x:f>
        <x:v>1</x:v>
      </x:c>
      <x:c r="R22" s="65" t="n">
        <x:f>IF(AND(R$4&gt;=$E22,R$4&lt;=$F22),1,"")</x:f>
        <x:v>1</x:v>
      </x:c>
      <x:c r="S22" s="68" t="n">
        <x:f>IF(AND(S$4&gt;=$E22,S$4&lt;=$F22),1,"")</x:f>
        <x:v>1</x:v>
      </x:c>
      <x:c r="T22" s="68" t="n">
        <x:f>IF(AND(T$4&gt;=$E22,T$4&lt;=$F22),1,"")</x:f>
        <x:v>1</x:v>
      </x:c>
      <x:c r="U22" s="65" t="n">
        <x:f>IF(AND(U$4&gt;=$E22,U$4&lt;=$F22),1,"")</x:f>
        <x:v>1</x:v>
      </x:c>
      <x:c r="V22" s="65" t="str">
        <x:f>IF(AND(V$4&gt;=$E22,V$4&lt;=$F22),1,"")</x:f>
      </x:c>
      <x:c r="W22" s="65" t="str">
        <x:f>IF(AND(W$4&gt;=$E22,W$4&lt;=$F22),1,"")</x:f>
      </x:c>
      <x:c r="X22" s="65" t="str">
        <x:f>IF(AND(X$4&gt;=$E22,X$4&lt;=$F22),1,"")</x:f>
      </x:c>
      <x:c r="Y22" s="65" t="str">
        <x:f>IF(AND(Y$4&gt;=$E22,Y$4&lt;=$F22),1,"")</x:f>
      </x:c>
      <x:c r="Z22" s="68" t="str">
        <x:f>IF(AND(Z$4&gt;=$E22,Z$4&lt;=$F22),1,"")</x:f>
      </x:c>
      <x:c r="AA22" s="68" t="str">
        <x:f>IF(AND(AA$4&gt;=$E22,AA$4&lt;=$F22),1,"")</x:f>
      </x:c>
      <x:c r="AB22" s="65" t="str">
        <x:f>IF(AND(AB$4&gt;=$E22,AB$4&lt;=$F22),1,"")</x:f>
      </x:c>
      <x:c r="AC22" s="65" t="str">
        <x:f>IF(AND(AC$4&gt;=$E22,AC$4&lt;=$F22),1,"")</x:f>
      </x:c>
      <x:c r="AD22" s="65" t="str">
        <x:f>IF(AND(AD$4&gt;=$E22,AD$4&lt;=$F22),1,"")</x:f>
      </x:c>
      <x:c r="AE22" s="65" t="str">
        <x:f>IF(AND(AE$4&gt;=$E22,AE$4&lt;=$F22),1,"")</x:f>
      </x:c>
      <x:c r="AF22" s="65" t="str">
        <x:f>IF(AND(AF$4&gt;=$E22,AF$4&lt;=$F22),1,"")</x:f>
      </x:c>
      <x:c r="AG22" s="68" t="str">
        <x:f>IF(AND(AG$4&gt;=$E22,AG$4&lt;=$F22),1,"")</x:f>
      </x:c>
      <x:c r="AH22" s="68" t="str">
        <x:f>IF(AND(AH$4&gt;=$E22,AH$4&lt;=$F22),1,"")</x:f>
      </x:c>
    </x:row>
    <x:row r="23" ht="15" hidden="0" customHeight="1">
      <x:c r="A23" s="12" t="str">
        <x:v>T18</x:v>
      </x:c>
      <x:c r="B23" s="12" t="str">
        <x:v>目标丢失安全搜寻与停车</x:v>
      </x:c>
      <x:c r="C23" s="41" t="str">
        <x:v>成员 A / B / C</x:v>
      </x:c>
      <x:c r="D23" s="40" t="str">
        <x:v>安全</x:v>
      </x:c>
      <x:c r="E23" s="13" t="n">
        <x:v>14</x:v>
      </x:c>
      <x:c r="F23" s="13" t="n">
        <x:v>18</x:v>
      </x:c>
      <x:c r="G23" s="65" t="str">
        <x:f>IF(AND(G$4&gt;=$E23,G$4&lt;=$F23),1,"")</x:f>
      </x:c>
      <x:c r="H23" s="65" t="str">
        <x:f>IF(AND(H$4&gt;=$E23,H$4&lt;=$F23),1,"")</x:f>
      </x:c>
      <x:c r="I23" s="65" t="str">
        <x:f>IF(AND(I$4&gt;=$E23,I$4&lt;=$F23),1,"")</x:f>
      </x:c>
      <x:c r="J23" s="65" t="str">
        <x:f>IF(AND(J$4&gt;=$E23,J$4&lt;=$F23),1,"")</x:f>
      </x:c>
      <x:c r="K23" s="65" t="str">
        <x:f>IF(AND(K$4&gt;=$E23,K$4&lt;=$F23),1,"")</x:f>
      </x:c>
      <x:c r="L23" s="68" t="str">
        <x:f>IF(AND(L$4&gt;=$E23,L$4&lt;=$F23),1,"")</x:f>
      </x:c>
      <x:c r="M23" s="68" t="str">
        <x:f>IF(AND(M$4&gt;=$E23,M$4&lt;=$F23),1,"")</x:f>
      </x:c>
      <x:c r="N23" s="65" t="str">
        <x:f>IF(AND(N$4&gt;=$E23,N$4&lt;=$F23),1,"")</x:f>
      </x:c>
      <x:c r="O23" s="65" t="str">
        <x:f>IF(AND(O$4&gt;=$E23,O$4&lt;=$F23),1,"")</x:f>
      </x:c>
      <x:c r="P23" s="65" t="str">
        <x:f>IF(AND(P$4&gt;=$E23,P$4&lt;=$F23),1,"")</x:f>
      </x:c>
      <x:c r="Q23" s="65" t="str">
        <x:f>IF(AND(Q$4&gt;=$E23,Q$4&lt;=$F23),1,"")</x:f>
      </x:c>
      <x:c r="R23" s="65" t="str">
        <x:f>IF(AND(R$4&gt;=$E23,R$4&lt;=$F23),1,"")</x:f>
      </x:c>
      <x:c r="S23" s="68" t="str">
        <x:f>IF(AND(S$4&gt;=$E23,S$4&lt;=$F23),1,"")</x:f>
      </x:c>
      <x:c r="T23" s="68" t="n">
        <x:f>IF(AND(T$4&gt;=$E23,T$4&lt;=$F23),1,"")</x:f>
        <x:v>1</x:v>
      </x:c>
      <x:c r="U23" s="65" t="n">
        <x:f>IF(AND(U$4&gt;=$E23,U$4&lt;=$F23),1,"")</x:f>
        <x:v>1</x:v>
      </x:c>
      <x:c r="V23" s="65" t="n">
        <x:f>IF(AND(V$4&gt;=$E23,V$4&lt;=$F23),1,"")</x:f>
        <x:v>1</x:v>
      </x:c>
      <x:c r="W23" s="65" t="n">
        <x:f>IF(AND(W$4&gt;=$E23,W$4&lt;=$F23),1,"")</x:f>
        <x:v>1</x:v>
      </x:c>
      <x:c r="X23" s="65" t="n">
        <x:f>IF(AND(X$4&gt;=$E23,X$4&lt;=$F23),1,"")</x:f>
        <x:v>1</x:v>
      </x:c>
      <x:c r="Y23" s="65" t="str">
        <x:f>IF(AND(Y$4&gt;=$E23,Y$4&lt;=$F23),1,"")</x:f>
      </x:c>
      <x:c r="Z23" s="68" t="str">
        <x:f>IF(AND(Z$4&gt;=$E23,Z$4&lt;=$F23),1,"")</x:f>
      </x:c>
      <x:c r="AA23" s="68" t="str">
        <x:f>IF(AND(AA$4&gt;=$E23,AA$4&lt;=$F23),1,"")</x:f>
      </x:c>
      <x:c r="AB23" s="65" t="str">
        <x:f>IF(AND(AB$4&gt;=$E23,AB$4&lt;=$F23),1,"")</x:f>
      </x:c>
      <x:c r="AC23" s="65" t="str">
        <x:f>IF(AND(AC$4&gt;=$E23,AC$4&lt;=$F23),1,"")</x:f>
      </x:c>
      <x:c r="AD23" s="65" t="str">
        <x:f>IF(AND(AD$4&gt;=$E23,AD$4&lt;=$F23),1,"")</x:f>
      </x:c>
      <x:c r="AE23" s="65" t="str">
        <x:f>IF(AND(AE$4&gt;=$E23,AE$4&lt;=$F23),1,"")</x:f>
      </x:c>
      <x:c r="AF23" s="65" t="str">
        <x:f>IF(AND(AF$4&gt;=$E23,AF$4&lt;=$F23),1,"")</x:f>
      </x:c>
      <x:c r="AG23" s="68" t="str">
        <x:f>IF(AND(AG$4&gt;=$E23,AG$4&lt;=$F23),1,"")</x:f>
      </x:c>
      <x:c r="AH23" s="68" t="str">
        <x:f>IF(AND(AH$4&gt;=$E23,AH$4&lt;=$F23),1,"")</x:f>
      </x:c>
    </x:row>
    <x:row r="24" ht="15" hidden="0" customHeight="1">
      <x:c r="A24" s="12" t="str">
        <x:v>T19</x:v>
      </x:c>
      <x:c r="B24" s="12" t="str">
        <x:v>障碍停车集成</x:v>
      </x:c>
      <x:c r="C24" s="27" t="str">
        <x:v>成员 C / B</x:v>
      </x:c>
      <x:c r="D24" s="40" t="str">
        <x:v>安全</x:v>
      </x:c>
      <x:c r="E24" s="13" t="n">
        <x:v>15</x:v>
      </x:c>
      <x:c r="F24" s="13" t="n">
        <x:v>19</x:v>
      </x:c>
      <x:c r="G24" s="65" t="str">
        <x:f>IF(AND(G$4&gt;=$E24,G$4&lt;=$F24),1,"")</x:f>
      </x:c>
      <x:c r="H24" s="65" t="str">
        <x:f>IF(AND(H$4&gt;=$E24,H$4&lt;=$F24),1,"")</x:f>
      </x:c>
      <x:c r="I24" s="65" t="str">
        <x:f>IF(AND(I$4&gt;=$E24,I$4&lt;=$F24),1,"")</x:f>
      </x:c>
      <x:c r="J24" s="65" t="str">
        <x:f>IF(AND(J$4&gt;=$E24,J$4&lt;=$F24),1,"")</x:f>
      </x:c>
      <x:c r="K24" s="65" t="str">
        <x:f>IF(AND(K$4&gt;=$E24,K$4&lt;=$F24),1,"")</x:f>
      </x:c>
      <x:c r="L24" s="68" t="str">
        <x:f>IF(AND(L$4&gt;=$E24,L$4&lt;=$F24),1,"")</x:f>
      </x:c>
      <x:c r="M24" s="68" t="str">
        <x:f>IF(AND(M$4&gt;=$E24,M$4&lt;=$F24),1,"")</x:f>
      </x:c>
      <x:c r="N24" s="65" t="str">
        <x:f>IF(AND(N$4&gt;=$E24,N$4&lt;=$F24),1,"")</x:f>
      </x:c>
      <x:c r="O24" s="65" t="str">
        <x:f>IF(AND(O$4&gt;=$E24,O$4&lt;=$F24),1,"")</x:f>
      </x:c>
      <x:c r="P24" s="65" t="str">
        <x:f>IF(AND(P$4&gt;=$E24,P$4&lt;=$F24),1,"")</x:f>
      </x:c>
      <x:c r="Q24" s="65" t="str">
        <x:f>IF(AND(Q$4&gt;=$E24,Q$4&lt;=$F24),1,"")</x:f>
      </x:c>
      <x:c r="R24" s="65" t="str">
        <x:f>IF(AND(R$4&gt;=$E24,R$4&lt;=$F24),1,"")</x:f>
      </x:c>
      <x:c r="S24" s="68" t="str">
        <x:f>IF(AND(S$4&gt;=$E24,S$4&lt;=$F24),1,"")</x:f>
      </x:c>
      <x:c r="T24" s="68" t="str">
        <x:f>IF(AND(T$4&gt;=$E24,T$4&lt;=$F24),1,"")</x:f>
      </x:c>
      <x:c r="U24" s="65" t="n">
        <x:f>IF(AND(U$4&gt;=$E24,U$4&lt;=$F24),1,"")</x:f>
        <x:v>1</x:v>
      </x:c>
      <x:c r="V24" s="65" t="n">
        <x:f>IF(AND(V$4&gt;=$E24,V$4&lt;=$F24),1,"")</x:f>
        <x:v>1</x:v>
      </x:c>
      <x:c r="W24" s="65" t="n">
        <x:f>IF(AND(W$4&gt;=$E24,W$4&lt;=$F24),1,"")</x:f>
        <x:v>1</x:v>
      </x:c>
      <x:c r="X24" s="65" t="n">
        <x:f>IF(AND(X$4&gt;=$E24,X$4&lt;=$F24),1,"")</x:f>
        <x:v>1</x:v>
      </x:c>
      <x:c r="Y24" s="65" t="n">
        <x:f>IF(AND(Y$4&gt;=$E24,Y$4&lt;=$F24),1,"")</x:f>
        <x:v>1</x:v>
      </x:c>
      <x:c r="Z24" s="68" t="str">
        <x:f>IF(AND(Z$4&gt;=$E24,Z$4&lt;=$F24),1,"")</x:f>
      </x:c>
      <x:c r="AA24" s="68" t="str">
        <x:f>IF(AND(AA$4&gt;=$E24,AA$4&lt;=$F24),1,"")</x:f>
      </x:c>
      <x:c r="AB24" s="65" t="str">
        <x:f>IF(AND(AB$4&gt;=$E24,AB$4&lt;=$F24),1,"")</x:f>
      </x:c>
      <x:c r="AC24" s="65" t="str">
        <x:f>IF(AND(AC$4&gt;=$E24,AC$4&lt;=$F24),1,"")</x:f>
      </x:c>
      <x:c r="AD24" s="65" t="str">
        <x:f>IF(AND(AD$4&gt;=$E24,AD$4&lt;=$F24),1,"")</x:f>
      </x:c>
      <x:c r="AE24" s="65" t="str">
        <x:f>IF(AND(AE$4&gt;=$E24,AE$4&lt;=$F24),1,"")</x:f>
      </x:c>
      <x:c r="AF24" s="65" t="str">
        <x:f>IF(AND(AF$4&gt;=$E24,AF$4&lt;=$F24),1,"")</x:f>
      </x:c>
      <x:c r="AG24" s="68" t="str">
        <x:f>IF(AND(AG$4&gt;=$E24,AG$4&lt;=$F24),1,"")</x:f>
      </x:c>
      <x:c r="AH24" s="68" t="str">
        <x:f>IF(AND(AH$4&gt;=$E24,AH$4&lt;=$F24),1,"")</x:f>
      </x:c>
    </x:row>
    <x:row r="25" ht="15" hidden="0" customHeight="1">
      <x:c r="A25" s="12" t="str">
        <x:v>T20</x:v>
      </x:c>
      <x:c r="B25" s="12" t="str">
        <x:v>系统联调一轮</x:v>
      </x:c>
      <x:c r="C25" s="41" t="str">
        <x:v>成员 A / B / C</x:v>
      </x:c>
      <x:c r="D25" s="44" t="str">
        <x:v>联调</x:v>
      </x:c>
      <x:c r="E25" s="13" t="n">
        <x:v>16</x:v>
      </x:c>
      <x:c r="F25" s="13" t="n">
        <x:v>20</x:v>
      </x:c>
      <x:c r="G25" s="65" t="str">
        <x:f>IF(AND(G$4&gt;=$E25,G$4&lt;=$F25),1,"")</x:f>
      </x:c>
      <x:c r="H25" s="65" t="str">
        <x:f>IF(AND(H$4&gt;=$E25,H$4&lt;=$F25),1,"")</x:f>
      </x:c>
      <x:c r="I25" s="65" t="str">
        <x:f>IF(AND(I$4&gt;=$E25,I$4&lt;=$F25),1,"")</x:f>
      </x:c>
      <x:c r="J25" s="65" t="str">
        <x:f>IF(AND(J$4&gt;=$E25,J$4&lt;=$F25),1,"")</x:f>
      </x:c>
      <x:c r="K25" s="65" t="str">
        <x:f>IF(AND(K$4&gt;=$E25,K$4&lt;=$F25),1,"")</x:f>
      </x:c>
      <x:c r="L25" s="68" t="str">
        <x:f>IF(AND(L$4&gt;=$E25,L$4&lt;=$F25),1,"")</x:f>
      </x:c>
      <x:c r="M25" s="68" t="str">
        <x:f>IF(AND(M$4&gt;=$E25,M$4&lt;=$F25),1,"")</x:f>
      </x:c>
      <x:c r="N25" s="65" t="str">
        <x:f>IF(AND(N$4&gt;=$E25,N$4&lt;=$F25),1,"")</x:f>
      </x:c>
      <x:c r="O25" s="65" t="str">
        <x:f>IF(AND(O$4&gt;=$E25,O$4&lt;=$F25),1,"")</x:f>
      </x:c>
      <x:c r="P25" s="65" t="str">
        <x:f>IF(AND(P$4&gt;=$E25,P$4&lt;=$F25),1,"")</x:f>
      </x:c>
      <x:c r="Q25" s="65" t="str">
        <x:f>IF(AND(Q$4&gt;=$E25,Q$4&lt;=$F25),1,"")</x:f>
      </x:c>
      <x:c r="R25" s="65" t="str">
        <x:f>IF(AND(R$4&gt;=$E25,R$4&lt;=$F25),1,"")</x:f>
      </x:c>
      <x:c r="S25" s="68" t="str">
        <x:f>IF(AND(S$4&gt;=$E25,S$4&lt;=$F25),1,"")</x:f>
      </x:c>
      <x:c r="T25" s="68" t="str">
        <x:f>IF(AND(T$4&gt;=$E25,T$4&lt;=$F25),1,"")</x:f>
      </x:c>
      <x:c r="U25" s="65" t="str">
        <x:f>IF(AND(U$4&gt;=$E25,U$4&lt;=$F25),1,"")</x:f>
      </x:c>
      <x:c r="V25" s="65" t="n">
        <x:f>IF(AND(V$4&gt;=$E25,V$4&lt;=$F25),1,"")</x:f>
        <x:v>1</x:v>
      </x:c>
      <x:c r="W25" s="65" t="n">
        <x:f>IF(AND(W$4&gt;=$E25,W$4&lt;=$F25),1,"")</x:f>
        <x:v>1</x:v>
      </x:c>
      <x:c r="X25" s="65" t="n">
        <x:f>IF(AND(X$4&gt;=$E25,X$4&lt;=$F25),1,"")</x:f>
        <x:v>1</x:v>
      </x:c>
      <x:c r="Y25" s="65" t="n">
        <x:f>IF(AND(Y$4&gt;=$E25,Y$4&lt;=$F25),1,"")</x:f>
        <x:v>1</x:v>
      </x:c>
      <x:c r="Z25" s="68" t="n">
        <x:f>IF(AND(Z$4&gt;=$E25,Z$4&lt;=$F25),1,"")</x:f>
        <x:v>1</x:v>
      </x:c>
      <x:c r="AA25" s="68" t="str">
        <x:f>IF(AND(AA$4&gt;=$E25,AA$4&lt;=$F25),1,"")</x:f>
      </x:c>
      <x:c r="AB25" s="65" t="str">
        <x:f>IF(AND(AB$4&gt;=$E25,AB$4&lt;=$F25),1,"")</x:f>
      </x:c>
      <x:c r="AC25" s="65" t="str">
        <x:f>IF(AND(AC$4&gt;=$E25,AC$4&lt;=$F25),1,"")</x:f>
      </x:c>
      <x:c r="AD25" s="65" t="str">
        <x:f>IF(AND(AD$4&gt;=$E25,AD$4&lt;=$F25),1,"")</x:f>
      </x:c>
      <x:c r="AE25" s="65" t="str">
        <x:f>IF(AND(AE$4&gt;=$E25,AE$4&lt;=$F25),1,"")</x:f>
      </x:c>
      <x:c r="AF25" s="65" t="str">
        <x:f>IF(AND(AF$4&gt;=$E25,AF$4&lt;=$F25),1,"")</x:f>
      </x:c>
      <x:c r="AG25" s="68" t="str">
        <x:f>IF(AND(AG$4&gt;=$E25,AG$4&lt;=$F25),1,"")</x:f>
      </x:c>
      <x:c r="AH25" s="68" t="str">
        <x:f>IF(AND(AH$4&gt;=$E25,AH$4&lt;=$F25),1,"")</x:f>
      </x:c>
    </x:row>
    <x:row r="26" ht="15" hidden="0" customHeight="1">
      <x:c r="A26" s="12" t="str">
        <x:v>T21</x:v>
      </x:c>
      <x:c r="B26" s="12" t="str">
        <x:v>中期材料与问题清单整理</x:v>
      </x:c>
      <x:c r="C26" s="45" t="str">
        <x:v>成员 C / A / B</x:v>
      </x:c>
      <x:c r="D26" s="17" t="str">
        <x:v>项目规划</x:v>
      </x:c>
      <x:c r="E26" s="13" t="n">
        <x:v>17</x:v>
      </x:c>
      <x:c r="F26" s="13" t="n">
        <x:v>18</x:v>
      </x:c>
      <x:c r="G26" s="65" t="str">
        <x:f>IF(AND(G$4&gt;=$E26,G$4&lt;=$F26),1,"")</x:f>
      </x:c>
      <x:c r="H26" s="65" t="str">
        <x:f>IF(AND(H$4&gt;=$E26,H$4&lt;=$F26),1,"")</x:f>
      </x:c>
      <x:c r="I26" s="65" t="str">
        <x:f>IF(AND(I$4&gt;=$E26,I$4&lt;=$F26),1,"")</x:f>
      </x:c>
      <x:c r="J26" s="65" t="str">
        <x:f>IF(AND(J$4&gt;=$E26,J$4&lt;=$F26),1,"")</x:f>
      </x:c>
      <x:c r="K26" s="65" t="str">
        <x:f>IF(AND(K$4&gt;=$E26,K$4&lt;=$F26),1,"")</x:f>
      </x:c>
      <x:c r="L26" s="68" t="str">
        <x:f>IF(AND(L$4&gt;=$E26,L$4&lt;=$F26),1,"")</x:f>
      </x:c>
      <x:c r="M26" s="68" t="str">
        <x:f>IF(AND(M$4&gt;=$E26,M$4&lt;=$F26),1,"")</x:f>
      </x:c>
      <x:c r="N26" s="65" t="str">
        <x:f>IF(AND(N$4&gt;=$E26,N$4&lt;=$F26),1,"")</x:f>
      </x:c>
      <x:c r="O26" s="65" t="str">
        <x:f>IF(AND(O$4&gt;=$E26,O$4&lt;=$F26),1,"")</x:f>
      </x:c>
      <x:c r="P26" s="65" t="str">
        <x:f>IF(AND(P$4&gt;=$E26,P$4&lt;=$F26),1,"")</x:f>
      </x:c>
      <x:c r="Q26" s="65" t="str">
        <x:f>IF(AND(Q$4&gt;=$E26,Q$4&lt;=$F26),1,"")</x:f>
      </x:c>
      <x:c r="R26" s="65" t="str">
        <x:f>IF(AND(R$4&gt;=$E26,R$4&lt;=$F26),1,"")</x:f>
      </x:c>
      <x:c r="S26" s="68" t="str">
        <x:f>IF(AND(S$4&gt;=$E26,S$4&lt;=$F26),1,"")</x:f>
      </x:c>
      <x:c r="T26" s="68" t="str">
        <x:f>IF(AND(T$4&gt;=$E26,T$4&lt;=$F26),1,"")</x:f>
      </x:c>
      <x:c r="U26" s="65" t="str">
        <x:f>IF(AND(U$4&gt;=$E26,U$4&lt;=$F26),1,"")</x:f>
      </x:c>
      <x:c r="V26" s="65" t="str">
        <x:f>IF(AND(V$4&gt;=$E26,V$4&lt;=$F26),1,"")</x:f>
      </x:c>
      <x:c r="W26" s="65" t="n">
        <x:f>IF(AND(W$4&gt;=$E26,W$4&lt;=$F26),1,"")</x:f>
        <x:v>1</x:v>
      </x:c>
      <x:c r="X26" s="65" t="n">
        <x:f>IF(AND(X$4&gt;=$E26,X$4&lt;=$F26),1,"")</x:f>
        <x:v>1</x:v>
      </x:c>
      <x:c r="Y26" s="65" t="str">
        <x:f>IF(AND(Y$4&gt;=$E26,Y$4&lt;=$F26),1,"")</x:f>
      </x:c>
      <x:c r="Z26" s="68" t="str">
        <x:f>IF(AND(Z$4&gt;=$E26,Z$4&lt;=$F26),1,"")</x:f>
      </x:c>
      <x:c r="AA26" s="68" t="str">
        <x:f>IF(AND(AA$4&gt;=$E26,AA$4&lt;=$F26),1,"")</x:f>
      </x:c>
      <x:c r="AB26" s="65" t="str">
        <x:f>IF(AND(AB$4&gt;=$E26,AB$4&lt;=$F26),1,"")</x:f>
      </x:c>
      <x:c r="AC26" s="65" t="str">
        <x:f>IF(AND(AC$4&gt;=$E26,AC$4&lt;=$F26),1,"")</x:f>
      </x:c>
      <x:c r="AD26" s="65" t="str">
        <x:f>IF(AND(AD$4&gt;=$E26,AD$4&lt;=$F26),1,"")</x:f>
      </x:c>
      <x:c r="AE26" s="65" t="str">
        <x:f>IF(AND(AE$4&gt;=$E26,AE$4&lt;=$F26),1,"")</x:f>
      </x:c>
      <x:c r="AF26" s="65" t="str">
        <x:f>IF(AND(AF$4&gt;=$E26,AF$4&lt;=$F26),1,"")</x:f>
      </x:c>
      <x:c r="AG26" s="68" t="str">
        <x:f>IF(AND(AG$4&gt;=$E26,AG$4&lt;=$F26),1,"")</x:f>
      </x:c>
      <x:c r="AH26" s="68" t="str">
        <x:f>IF(AND(AH$4&gt;=$E26,AH$4&lt;=$F26),1,"")</x:f>
      </x:c>
    </x:row>
    <x:row r="27" ht="15" hidden="0" customHeight="1">
      <x:c r="A27" s="12" t="str">
        <x:v>T22</x:v>
      </x:c>
      <x:c r="B27" s="12" t="str">
        <x:v>转弯、停下与负载测试</x:v>
      </x:c>
      <x:c r="C27" s="45" t="str">
        <x:v>成员 C / A / B</x:v>
      </x:c>
      <x:c r="D27" s="37" t="str">
        <x:v>测试</x:v>
      </x:c>
      <x:c r="E27" s="13" t="n">
        <x:v>18</x:v>
      </x:c>
      <x:c r="F27" s="13" t="n">
        <x:v>22</x:v>
      </x:c>
      <x:c r="G27" s="65" t="str">
        <x:f>IF(AND(G$4&gt;=$E27,G$4&lt;=$F27),1,"")</x:f>
      </x:c>
      <x:c r="H27" s="65" t="str">
        <x:f>IF(AND(H$4&gt;=$E27,H$4&lt;=$F27),1,"")</x:f>
      </x:c>
      <x:c r="I27" s="65" t="str">
        <x:f>IF(AND(I$4&gt;=$E27,I$4&lt;=$F27),1,"")</x:f>
      </x:c>
      <x:c r="J27" s="65" t="str">
        <x:f>IF(AND(J$4&gt;=$E27,J$4&lt;=$F27),1,"")</x:f>
      </x:c>
      <x:c r="K27" s="65" t="str">
        <x:f>IF(AND(K$4&gt;=$E27,K$4&lt;=$F27),1,"")</x:f>
      </x:c>
      <x:c r="L27" s="68" t="str">
        <x:f>IF(AND(L$4&gt;=$E27,L$4&lt;=$F27),1,"")</x:f>
      </x:c>
      <x:c r="M27" s="68" t="str">
        <x:f>IF(AND(M$4&gt;=$E27,M$4&lt;=$F27),1,"")</x:f>
      </x:c>
      <x:c r="N27" s="65" t="str">
        <x:f>IF(AND(N$4&gt;=$E27,N$4&lt;=$F27),1,"")</x:f>
      </x:c>
      <x:c r="O27" s="65" t="str">
        <x:f>IF(AND(O$4&gt;=$E27,O$4&lt;=$F27),1,"")</x:f>
      </x:c>
      <x:c r="P27" s="65" t="str">
        <x:f>IF(AND(P$4&gt;=$E27,P$4&lt;=$F27),1,"")</x:f>
      </x:c>
      <x:c r="Q27" s="65" t="str">
        <x:f>IF(AND(Q$4&gt;=$E27,Q$4&lt;=$F27),1,"")</x:f>
      </x:c>
      <x:c r="R27" s="65" t="str">
        <x:f>IF(AND(R$4&gt;=$E27,R$4&lt;=$F27),1,"")</x:f>
      </x:c>
      <x:c r="S27" s="68" t="str">
        <x:f>IF(AND(S$4&gt;=$E27,S$4&lt;=$F27),1,"")</x:f>
      </x:c>
      <x:c r="T27" s="68" t="str">
        <x:f>IF(AND(T$4&gt;=$E27,T$4&lt;=$F27),1,"")</x:f>
      </x:c>
      <x:c r="U27" s="65" t="str">
        <x:f>IF(AND(U$4&gt;=$E27,U$4&lt;=$F27),1,"")</x:f>
      </x:c>
      <x:c r="V27" s="65" t="str">
        <x:f>IF(AND(V$4&gt;=$E27,V$4&lt;=$F27),1,"")</x:f>
      </x:c>
      <x:c r="W27" s="65" t="str">
        <x:f>IF(AND(W$4&gt;=$E27,W$4&lt;=$F27),1,"")</x:f>
      </x:c>
      <x:c r="X27" s="65" t="n">
        <x:f>IF(AND(X$4&gt;=$E27,X$4&lt;=$F27),1,"")</x:f>
        <x:v>1</x:v>
      </x:c>
      <x:c r="Y27" s="65" t="n">
        <x:f>IF(AND(Y$4&gt;=$E27,Y$4&lt;=$F27),1,"")</x:f>
        <x:v>1</x:v>
      </x:c>
      <x:c r="Z27" s="68" t="n">
        <x:f>IF(AND(Z$4&gt;=$E27,Z$4&lt;=$F27),1,"")</x:f>
        <x:v>1</x:v>
      </x:c>
      <x:c r="AA27" s="68" t="n">
        <x:f>IF(AND(AA$4&gt;=$E27,AA$4&lt;=$F27),1,"")</x:f>
        <x:v>1</x:v>
      </x:c>
      <x:c r="AB27" s="65" t="n">
        <x:f>IF(AND(AB$4&gt;=$E27,AB$4&lt;=$F27),1,"")</x:f>
        <x:v>1</x:v>
      </x:c>
      <x:c r="AC27" s="65" t="str">
        <x:f>IF(AND(AC$4&gt;=$E27,AC$4&lt;=$F27),1,"")</x:f>
      </x:c>
      <x:c r="AD27" s="65" t="str">
        <x:f>IF(AND(AD$4&gt;=$E27,AD$4&lt;=$F27),1,"")</x:f>
      </x:c>
      <x:c r="AE27" s="65" t="str">
        <x:f>IF(AND(AE$4&gt;=$E27,AE$4&lt;=$F27),1,"")</x:f>
      </x:c>
      <x:c r="AF27" s="65" t="str">
        <x:f>IF(AND(AF$4&gt;=$E27,AF$4&lt;=$F27),1,"")</x:f>
      </x:c>
      <x:c r="AG27" s="68" t="str">
        <x:f>IF(AND(AG$4&gt;=$E27,AG$4&lt;=$F27),1,"")</x:f>
      </x:c>
      <x:c r="AH27" s="68" t="str">
        <x:f>IF(AND(AH$4&gt;=$E27,AH$4&lt;=$F27),1,"")</x:f>
      </x:c>
    </x:row>
    <x:row r="28" ht="15" hidden="0" customHeight="1">
      <x:c r="A28" s="12" t="str">
        <x:v>T23</x:v>
      </x:c>
      <x:c r="B28" s="12" t="str">
        <x:v>系统联调二轮与问题收敛</x:v>
      </x:c>
      <x:c r="C28" s="41" t="str">
        <x:v>成员 A / B / C</x:v>
      </x:c>
      <x:c r="D28" s="44" t="str">
        <x:v>联调</x:v>
      </x:c>
      <x:c r="E28" s="13" t="n">
        <x:v>21</x:v>
      </x:c>
      <x:c r="F28" s="13" t="n">
        <x:v>24</x:v>
      </x:c>
      <x:c r="G28" s="65" t="str">
        <x:f>IF(AND(G$4&gt;=$E28,G$4&lt;=$F28),1,"")</x:f>
      </x:c>
      <x:c r="H28" s="65" t="str">
        <x:f>IF(AND(H$4&gt;=$E28,H$4&lt;=$F28),1,"")</x:f>
      </x:c>
      <x:c r="I28" s="65" t="str">
        <x:f>IF(AND(I$4&gt;=$E28,I$4&lt;=$F28),1,"")</x:f>
      </x:c>
      <x:c r="J28" s="65" t="str">
        <x:f>IF(AND(J$4&gt;=$E28,J$4&lt;=$F28),1,"")</x:f>
      </x:c>
      <x:c r="K28" s="65" t="str">
        <x:f>IF(AND(K$4&gt;=$E28,K$4&lt;=$F28),1,"")</x:f>
      </x:c>
      <x:c r="L28" s="68" t="str">
        <x:f>IF(AND(L$4&gt;=$E28,L$4&lt;=$F28),1,"")</x:f>
      </x:c>
      <x:c r="M28" s="68" t="str">
        <x:f>IF(AND(M$4&gt;=$E28,M$4&lt;=$F28),1,"")</x:f>
      </x:c>
      <x:c r="N28" s="65" t="str">
        <x:f>IF(AND(N$4&gt;=$E28,N$4&lt;=$F28),1,"")</x:f>
      </x:c>
      <x:c r="O28" s="65" t="str">
        <x:f>IF(AND(O$4&gt;=$E28,O$4&lt;=$F28),1,"")</x:f>
      </x:c>
      <x:c r="P28" s="65" t="str">
        <x:f>IF(AND(P$4&gt;=$E28,P$4&lt;=$F28),1,"")</x:f>
      </x:c>
      <x:c r="Q28" s="65" t="str">
        <x:f>IF(AND(Q$4&gt;=$E28,Q$4&lt;=$F28),1,"")</x:f>
      </x:c>
      <x:c r="R28" s="65" t="str">
        <x:f>IF(AND(R$4&gt;=$E28,R$4&lt;=$F28),1,"")</x:f>
      </x:c>
      <x:c r="S28" s="68" t="str">
        <x:f>IF(AND(S$4&gt;=$E28,S$4&lt;=$F28),1,"")</x:f>
      </x:c>
      <x:c r="T28" s="68" t="str">
        <x:f>IF(AND(T$4&gt;=$E28,T$4&lt;=$F28),1,"")</x:f>
      </x:c>
      <x:c r="U28" s="65" t="str">
        <x:f>IF(AND(U$4&gt;=$E28,U$4&lt;=$F28),1,"")</x:f>
      </x:c>
      <x:c r="V28" s="65" t="str">
        <x:f>IF(AND(V$4&gt;=$E28,V$4&lt;=$F28),1,"")</x:f>
      </x:c>
      <x:c r="W28" s="65" t="str">
        <x:f>IF(AND(W$4&gt;=$E28,W$4&lt;=$F28),1,"")</x:f>
      </x:c>
      <x:c r="X28" s="65" t="str">
        <x:f>IF(AND(X$4&gt;=$E28,X$4&lt;=$F28),1,"")</x:f>
      </x:c>
      <x:c r="Y28" s="65" t="str">
        <x:f>IF(AND(Y$4&gt;=$E28,Y$4&lt;=$F28),1,"")</x:f>
      </x:c>
      <x:c r="Z28" s="68" t="str">
        <x:f>IF(AND(Z$4&gt;=$E28,Z$4&lt;=$F28),1,"")</x:f>
      </x:c>
      <x:c r="AA28" s="68" t="n">
        <x:f>IF(AND(AA$4&gt;=$E28,AA$4&lt;=$F28),1,"")</x:f>
        <x:v>1</x:v>
      </x:c>
      <x:c r="AB28" s="65" t="n">
        <x:f>IF(AND(AB$4&gt;=$E28,AB$4&lt;=$F28),1,"")</x:f>
        <x:v>1</x:v>
      </x:c>
      <x:c r="AC28" s="65" t="n">
        <x:f>IF(AND(AC$4&gt;=$E28,AC$4&lt;=$F28),1,"")</x:f>
        <x:v>1</x:v>
      </x:c>
      <x:c r="AD28" s="65" t="n">
        <x:f>IF(AND(AD$4&gt;=$E28,AD$4&lt;=$F28),1,"")</x:f>
        <x:v>1</x:v>
      </x:c>
      <x:c r="AE28" s="65" t="str">
        <x:f>IF(AND(AE$4&gt;=$E28,AE$4&lt;=$F28),1,"")</x:f>
      </x:c>
      <x:c r="AF28" s="65" t="str">
        <x:f>IF(AND(AF$4&gt;=$E28,AF$4&lt;=$F28),1,"")</x:f>
      </x:c>
      <x:c r="AG28" s="68" t="str">
        <x:f>IF(AND(AG$4&gt;=$E28,AG$4&lt;=$F28),1,"")</x:f>
      </x:c>
      <x:c r="AH28" s="68" t="str">
        <x:f>IF(AND(AH$4&gt;=$E28,AH$4&lt;=$F28),1,"")</x:f>
      </x:c>
    </x:row>
    <x:row r="29" ht="15" hidden="0" customHeight="1">
      <x:c r="A29" s="12" t="str">
        <x:v>T24</x:v>
      </x:c>
      <x:c r="B29" s="12" t="str">
        <x:v>演示视频录制与脚本固化</x:v>
      </x:c>
      <x:c r="C29" s="45" t="str">
        <x:v>成员 C / A / B</x:v>
      </x:c>
      <x:c r="D29" s="48" t="str">
        <x:v>交付</x:v>
      </x:c>
      <x:c r="E29" s="13" t="n">
        <x:v>22</x:v>
      </x:c>
      <x:c r="F29" s="13" t="n">
        <x:v>26</x:v>
      </x:c>
      <x:c r="G29" s="65" t="str">
        <x:f>IF(AND(G$4&gt;=$E29,G$4&lt;=$F29),1,"")</x:f>
      </x:c>
      <x:c r="H29" s="65" t="str">
        <x:f>IF(AND(H$4&gt;=$E29,H$4&lt;=$F29),1,"")</x:f>
      </x:c>
      <x:c r="I29" s="65" t="str">
        <x:f>IF(AND(I$4&gt;=$E29,I$4&lt;=$F29),1,"")</x:f>
      </x:c>
      <x:c r="J29" s="65" t="str">
        <x:f>IF(AND(J$4&gt;=$E29,J$4&lt;=$F29),1,"")</x:f>
      </x:c>
      <x:c r="K29" s="65" t="str">
        <x:f>IF(AND(K$4&gt;=$E29,K$4&lt;=$F29),1,"")</x:f>
      </x:c>
      <x:c r="L29" s="68" t="str">
        <x:f>IF(AND(L$4&gt;=$E29,L$4&lt;=$F29),1,"")</x:f>
      </x:c>
      <x:c r="M29" s="68" t="str">
        <x:f>IF(AND(M$4&gt;=$E29,M$4&lt;=$F29),1,"")</x:f>
      </x:c>
      <x:c r="N29" s="65" t="str">
        <x:f>IF(AND(N$4&gt;=$E29,N$4&lt;=$F29),1,"")</x:f>
      </x:c>
      <x:c r="O29" s="65" t="str">
        <x:f>IF(AND(O$4&gt;=$E29,O$4&lt;=$F29),1,"")</x:f>
      </x:c>
      <x:c r="P29" s="65" t="str">
        <x:f>IF(AND(P$4&gt;=$E29,P$4&lt;=$F29),1,"")</x:f>
      </x:c>
      <x:c r="Q29" s="65" t="str">
        <x:f>IF(AND(Q$4&gt;=$E29,Q$4&lt;=$F29),1,"")</x:f>
      </x:c>
      <x:c r="R29" s="65" t="str">
        <x:f>IF(AND(R$4&gt;=$E29,R$4&lt;=$F29),1,"")</x:f>
      </x:c>
      <x:c r="S29" s="68" t="str">
        <x:f>IF(AND(S$4&gt;=$E29,S$4&lt;=$F29),1,"")</x:f>
      </x:c>
      <x:c r="T29" s="68" t="str">
        <x:f>IF(AND(T$4&gt;=$E29,T$4&lt;=$F29),1,"")</x:f>
      </x:c>
      <x:c r="U29" s="65" t="str">
        <x:f>IF(AND(U$4&gt;=$E29,U$4&lt;=$F29),1,"")</x:f>
      </x:c>
      <x:c r="V29" s="65" t="str">
        <x:f>IF(AND(V$4&gt;=$E29,V$4&lt;=$F29),1,"")</x:f>
      </x:c>
      <x:c r="W29" s="65" t="str">
        <x:f>IF(AND(W$4&gt;=$E29,W$4&lt;=$F29),1,"")</x:f>
      </x:c>
      <x:c r="X29" s="65" t="str">
        <x:f>IF(AND(X$4&gt;=$E29,X$4&lt;=$F29),1,"")</x:f>
      </x:c>
      <x:c r="Y29" s="65" t="str">
        <x:f>IF(AND(Y$4&gt;=$E29,Y$4&lt;=$F29),1,"")</x:f>
      </x:c>
      <x:c r="Z29" s="68" t="str">
        <x:f>IF(AND(Z$4&gt;=$E29,Z$4&lt;=$F29),1,"")</x:f>
      </x:c>
      <x:c r="AA29" s="68" t="str">
        <x:f>IF(AND(AA$4&gt;=$E29,AA$4&lt;=$F29),1,"")</x:f>
      </x:c>
      <x:c r="AB29" s="65" t="n">
        <x:f>IF(AND(AB$4&gt;=$E29,AB$4&lt;=$F29),1,"")</x:f>
        <x:v>1</x:v>
      </x:c>
      <x:c r="AC29" s="65" t="n">
        <x:f>IF(AND(AC$4&gt;=$E29,AC$4&lt;=$F29),1,"")</x:f>
        <x:v>1</x:v>
      </x:c>
      <x:c r="AD29" s="65" t="n">
        <x:f>IF(AND(AD$4&gt;=$E29,AD$4&lt;=$F29),1,"")</x:f>
        <x:v>1</x:v>
      </x:c>
      <x:c r="AE29" s="65" t="n">
        <x:f>IF(AND(AE$4&gt;=$E29,AE$4&lt;=$F29),1,"")</x:f>
        <x:v>1</x:v>
      </x:c>
      <x:c r="AF29" s="65" t="n">
        <x:f>IF(AND(AF$4&gt;=$E29,AF$4&lt;=$F29),1,"")</x:f>
        <x:v>1</x:v>
      </x:c>
      <x:c r="AG29" s="68" t="str">
        <x:f>IF(AND(AG$4&gt;=$E29,AG$4&lt;=$F29),1,"")</x:f>
      </x:c>
      <x:c r="AH29" s="68" t="str">
        <x:f>IF(AND(AH$4&gt;=$E29,AH$4&lt;=$F29),1,"")</x:f>
      </x:c>
    </x:row>
    <x:row r="30" ht="15" hidden="0" customHeight="1">
      <x:c r="A30" s="12" t="str">
        <x:v>T25</x:v>
      </x:c>
      <x:c r="B30" s="12" t="str">
        <x:v>海报、PPT、总结报告收口</x:v>
      </x:c>
      <x:c r="C30" s="45" t="str">
        <x:v>成员 C / A / B</x:v>
      </x:c>
      <x:c r="D30" s="48" t="str">
        <x:v>交付</x:v>
      </x:c>
      <x:c r="E30" s="13" t="n">
        <x:v>23</x:v>
      </x:c>
      <x:c r="F30" s="13" t="n">
        <x:v>27</x:v>
      </x:c>
      <x:c r="G30" s="65" t="str">
        <x:f>IF(AND(G$4&gt;=$E30,G$4&lt;=$F30),1,"")</x:f>
      </x:c>
      <x:c r="H30" s="65" t="str">
        <x:f>IF(AND(H$4&gt;=$E30,H$4&lt;=$F30),1,"")</x:f>
      </x:c>
      <x:c r="I30" s="65" t="str">
        <x:f>IF(AND(I$4&gt;=$E30,I$4&lt;=$F30),1,"")</x:f>
      </x:c>
      <x:c r="J30" s="65" t="str">
        <x:f>IF(AND(J$4&gt;=$E30,J$4&lt;=$F30),1,"")</x:f>
      </x:c>
      <x:c r="K30" s="65" t="str">
        <x:f>IF(AND(K$4&gt;=$E30,K$4&lt;=$F30),1,"")</x:f>
      </x:c>
      <x:c r="L30" s="68" t="str">
        <x:f>IF(AND(L$4&gt;=$E30,L$4&lt;=$F30),1,"")</x:f>
      </x:c>
      <x:c r="M30" s="68" t="str">
        <x:f>IF(AND(M$4&gt;=$E30,M$4&lt;=$F30),1,"")</x:f>
      </x:c>
      <x:c r="N30" s="65" t="str">
        <x:f>IF(AND(N$4&gt;=$E30,N$4&lt;=$F30),1,"")</x:f>
      </x:c>
      <x:c r="O30" s="65" t="str">
        <x:f>IF(AND(O$4&gt;=$E30,O$4&lt;=$F30),1,"")</x:f>
      </x:c>
      <x:c r="P30" s="65" t="str">
        <x:f>IF(AND(P$4&gt;=$E30,P$4&lt;=$F30),1,"")</x:f>
      </x:c>
      <x:c r="Q30" s="65" t="str">
        <x:f>IF(AND(Q$4&gt;=$E30,Q$4&lt;=$F30),1,"")</x:f>
      </x:c>
      <x:c r="R30" s="65" t="str">
        <x:f>IF(AND(R$4&gt;=$E30,R$4&lt;=$F30),1,"")</x:f>
      </x:c>
      <x:c r="S30" s="68" t="str">
        <x:f>IF(AND(S$4&gt;=$E30,S$4&lt;=$F30),1,"")</x:f>
      </x:c>
      <x:c r="T30" s="68" t="str">
        <x:f>IF(AND(T$4&gt;=$E30,T$4&lt;=$F30),1,"")</x:f>
      </x:c>
      <x:c r="U30" s="65" t="str">
        <x:f>IF(AND(U$4&gt;=$E30,U$4&lt;=$F30),1,"")</x:f>
      </x:c>
      <x:c r="V30" s="65" t="str">
        <x:f>IF(AND(V$4&gt;=$E30,V$4&lt;=$F30),1,"")</x:f>
      </x:c>
      <x:c r="W30" s="65" t="str">
        <x:f>IF(AND(W$4&gt;=$E30,W$4&lt;=$F30),1,"")</x:f>
      </x:c>
      <x:c r="X30" s="65" t="str">
        <x:f>IF(AND(X$4&gt;=$E30,X$4&lt;=$F30),1,"")</x:f>
      </x:c>
      <x:c r="Y30" s="65" t="str">
        <x:f>IF(AND(Y$4&gt;=$E30,Y$4&lt;=$F30),1,"")</x:f>
      </x:c>
      <x:c r="Z30" s="68" t="str">
        <x:f>IF(AND(Z$4&gt;=$E30,Z$4&lt;=$F30),1,"")</x:f>
      </x:c>
      <x:c r="AA30" s="68" t="str">
        <x:f>IF(AND(AA$4&gt;=$E30,AA$4&lt;=$F30),1,"")</x:f>
      </x:c>
      <x:c r="AB30" s="65" t="str">
        <x:f>IF(AND(AB$4&gt;=$E30,AB$4&lt;=$F30),1,"")</x:f>
      </x:c>
      <x:c r="AC30" s="65" t="n">
        <x:f>IF(AND(AC$4&gt;=$E30,AC$4&lt;=$F30),1,"")</x:f>
        <x:v>1</x:v>
      </x:c>
      <x:c r="AD30" s="65" t="n">
        <x:f>IF(AND(AD$4&gt;=$E30,AD$4&lt;=$F30),1,"")</x:f>
        <x:v>1</x:v>
      </x:c>
      <x:c r="AE30" s="65" t="n">
        <x:f>IF(AND(AE$4&gt;=$E30,AE$4&lt;=$F30),1,"")</x:f>
        <x:v>1</x:v>
      </x:c>
      <x:c r="AF30" s="65" t="n">
        <x:f>IF(AND(AF$4&gt;=$E30,AF$4&lt;=$F30),1,"")</x:f>
        <x:v>1</x:v>
      </x:c>
      <x:c r="AG30" s="68" t="n">
        <x:f>IF(AND(AG$4&gt;=$E30,AG$4&lt;=$F30),1,"")</x:f>
        <x:v>1</x:v>
      </x:c>
      <x:c r="AH30" s="68" t="str">
        <x:f>IF(AND(AH$4&gt;=$E30,AH$4&lt;=$F30),1,"")</x:f>
      </x:c>
    </x:row>
    <x:row r="31" ht="15" hidden="0" customHeight="1">
      <x:c r="A31" s="12" t="str">
        <x:v>T26</x:v>
      </x:c>
      <x:c r="B31" s="12" t="str">
        <x:v>最终彩排与现场预案确认</x:v>
      </x:c>
      <x:c r="C31" s="41" t="str">
        <x:v>成员 A / B / C</x:v>
      </x:c>
      <x:c r="D31" s="48" t="str">
        <x:v>交付</x:v>
      </x:c>
      <x:c r="E31" s="13" t="n">
        <x:v>27</x:v>
      </x:c>
      <x:c r="F31" s="13" t="n">
        <x:v>28</x:v>
      </x:c>
      <x:c r="G31" s="65" t="str">
        <x:f>IF(AND(G$4&gt;=$E31,G$4&lt;=$F31),1,"")</x:f>
      </x:c>
      <x:c r="H31" s="65" t="str">
        <x:f>IF(AND(H$4&gt;=$E31,H$4&lt;=$F31),1,"")</x:f>
      </x:c>
      <x:c r="I31" s="65" t="str">
        <x:f>IF(AND(I$4&gt;=$E31,I$4&lt;=$F31),1,"")</x:f>
      </x:c>
      <x:c r="J31" s="65" t="str">
        <x:f>IF(AND(J$4&gt;=$E31,J$4&lt;=$F31),1,"")</x:f>
      </x:c>
      <x:c r="K31" s="65" t="str">
        <x:f>IF(AND(K$4&gt;=$E31,K$4&lt;=$F31),1,"")</x:f>
      </x:c>
      <x:c r="L31" s="68" t="str">
        <x:f>IF(AND(L$4&gt;=$E31,L$4&lt;=$F31),1,"")</x:f>
      </x:c>
      <x:c r="M31" s="68" t="str">
        <x:f>IF(AND(M$4&gt;=$E31,M$4&lt;=$F31),1,"")</x:f>
      </x:c>
      <x:c r="N31" s="65" t="str">
        <x:f>IF(AND(N$4&gt;=$E31,N$4&lt;=$F31),1,"")</x:f>
      </x:c>
      <x:c r="O31" s="65" t="str">
        <x:f>IF(AND(O$4&gt;=$E31,O$4&lt;=$F31),1,"")</x:f>
      </x:c>
      <x:c r="P31" s="65" t="str">
        <x:f>IF(AND(P$4&gt;=$E31,P$4&lt;=$F31),1,"")</x:f>
      </x:c>
      <x:c r="Q31" s="65" t="str">
        <x:f>IF(AND(Q$4&gt;=$E31,Q$4&lt;=$F31),1,"")</x:f>
      </x:c>
      <x:c r="R31" s="65" t="str">
        <x:f>IF(AND(R$4&gt;=$E31,R$4&lt;=$F31),1,"")</x:f>
      </x:c>
      <x:c r="S31" s="68" t="str">
        <x:f>IF(AND(S$4&gt;=$E31,S$4&lt;=$F31),1,"")</x:f>
      </x:c>
      <x:c r="T31" s="68" t="str">
        <x:f>IF(AND(T$4&gt;=$E31,T$4&lt;=$F31),1,"")</x:f>
      </x:c>
      <x:c r="U31" s="65" t="str">
        <x:f>IF(AND(U$4&gt;=$E31,U$4&lt;=$F31),1,"")</x:f>
      </x:c>
      <x:c r="V31" s="65" t="str">
        <x:f>IF(AND(V$4&gt;=$E31,V$4&lt;=$F31),1,"")</x:f>
      </x:c>
      <x:c r="W31" s="65" t="str">
        <x:f>IF(AND(W$4&gt;=$E31,W$4&lt;=$F31),1,"")</x:f>
      </x:c>
      <x:c r="X31" s="65" t="str">
        <x:f>IF(AND(X$4&gt;=$E31,X$4&lt;=$F31),1,"")</x:f>
      </x:c>
      <x:c r="Y31" s="65" t="str">
        <x:f>IF(AND(Y$4&gt;=$E31,Y$4&lt;=$F31),1,"")</x:f>
      </x:c>
      <x:c r="Z31" s="68" t="str">
        <x:f>IF(AND(Z$4&gt;=$E31,Z$4&lt;=$F31),1,"")</x:f>
      </x:c>
      <x:c r="AA31" s="68" t="str">
        <x:f>IF(AND(AA$4&gt;=$E31,AA$4&lt;=$F31),1,"")</x:f>
      </x:c>
      <x:c r="AB31" s="65" t="str">
        <x:f>IF(AND(AB$4&gt;=$E31,AB$4&lt;=$F31),1,"")</x:f>
      </x:c>
      <x:c r="AC31" s="65" t="str">
        <x:f>IF(AND(AC$4&gt;=$E31,AC$4&lt;=$F31),1,"")</x:f>
      </x:c>
      <x:c r="AD31" s="65" t="str">
        <x:f>IF(AND(AD$4&gt;=$E31,AD$4&lt;=$F31),1,"")</x:f>
      </x:c>
      <x:c r="AE31" s="65" t="str">
        <x:f>IF(AND(AE$4&gt;=$E31,AE$4&lt;=$F31),1,"")</x:f>
      </x:c>
      <x:c r="AF31" s="65" t="str">
        <x:f>IF(AND(AF$4&gt;=$E31,AF$4&lt;=$F31),1,"")</x:f>
      </x:c>
      <x:c r="AG31" s="68" t="n">
        <x:f>IF(AND(AG$4&gt;=$E31,AG$4&lt;=$F31),1,"")</x:f>
        <x:v>1</x:v>
      </x:c>
      <x:c r="AH31" s="68" t="n">
        <x:f>IF(AND(AH$4&gt;=$E31,AH$4&lt;=$F31),1,"")</x:f>
        <x:v>1</x:v>
      </x:c>
    </x:row>
    <x:row r="34" ht="26.399999618530273" hidden="0" customHeight="1">
      <x:c r="A34" s="71" t="str">
        <x:v>说明：本甘特图使用第 1 天至第 28 天的相对排期，不绑定自然日。蓝色条表示计划主工作日，浅灰底用于标识每周后两天的节奏参考。</x:v>
      </x:c>
      <x:c r="B34" s="71"/>
      <x:c r="C34" s="71"/>
      <x:c r="D34" s="71"/>
      <x:c r="E34" s="71"/>
      <x:c r="F34" s="71"/>
    </x:row>
    <x:row r="35" ht="52.79999923706055" hidden="0" customHeight="1">
      <x:c r="A35" s="72" t="str">
        <x:v>并行主线</x:v>
      </x:c>
      <x:c r="B35" s="72" t="str">
        <x:v>成员 A</x:v>
      </x:c>
      <x:c r="C35" s="72" t="str">
        <x:v>OpenBot App、人物检测、目标锁定、跟随参数调节</x:v>
      </x:c>
    </x:row>
    <x:row r="36" ht="26.399999618530273" hidden="0" customHeight="1">
      <x:c r="A36" s="72" t="str">
        <x:v>并行主线</x:v>
      </x:c>
      <x:c r="B36" s="72" t="str">
        <x:v>成员 B</x:v>
      </x:c>
      <x:c r="C36" s="72" t="str">
        <x:v>MCU、通信、电机驱动、供电与急停执行</x:v>
      </x:c>
    </x:row>
    <x:row r="37" ht="39.599998474121094" hidden="0" customHeight="1">
      <x:c r="A37" s="72" t="str">
        <x:v>并行主线</x:v>
      </x:c>
      <x:c r="B37" s="72" t="str">
        <x:v>成员 C</x:v>
      </x:c>
      <x:c r="C37" s="72" t="str">
        <x:v>结构改造、安全测试、视频记录与材料收口</x:v>
      </x:c>
    </x:row>
  </x:sheetData>
  <x:mergeCells>
    <x:mergeCell ref="A1:AH1"/>
    <x:mergeCell ref="A34:F34"/>
  </x:mergeCells>
  <x:conditionalFormatting sqref="G6:AH31">
    <x:cfRule type="cellIs" dxfId="0" priority="1" operator="greaterThan">
      <x:formula>0</x:formula>
    </x:cfRule>
  </x:conditionalFormatting>
  <x:pageMargins left="0.7" right="0.7" top="0.75" bottom="0.75" header="0.3" footer="0.3"/>
</x:worksheet>
</file>